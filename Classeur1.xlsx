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4F2A092B-4F4F-4763-BEDC-3B099B50CB29}" xr6:coauthVersionLast="47" xr6:coauthVersionMax="47" xr10:uidLastSave="{00000000-0000-0000-0000-000000000000}"/>
  <bookViews>
    <workbookView xWindow="-110" yWindow="-110" windowWidth="19420" windowHeight="11500" xr2:uid="{648C1219-6741-4857-AE51-0E11EEBA6D87}"/>
  </bookViews>
  <sheets>
    <sheet name="BD_APPUR 2" sheetId="1" r:id="rId1"/>
  </sheets>
  <definedNames>
    <definedName name="_xlnm._FilterDatabase" localSheetId="0" hidden="1">'BD_APPUR 2'!$A$1:$S$216</definedName>
    <definedName name="Basedonnées">'BD_APPUR 2'!$F$10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0" i="1" l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T189" i="1"/>
  <c r="J189" i="1"/>
  <c r="T188" i="1"/>
  <c r="J188" i="1"/>
  <c r="T187" i="1"/>
  <c r="J187" i="1"/>
  <c r="T186" i="1"/>
  <c r="J186" i="1"/>
  <c r="T185" i="1"/>
  <c r="J185" i="1"/>
  <c r="T184" i="1"/>
  <c r="J184" i="1"/>
  <c r="T183" i="1"/>
  <c r="J183" i="1"/>
  <c r="T182" i="1"/>
  <c r="J182" i="1"/>
  <c r="T181" i="1"/>
  <c r="J181" i="1"/>
  <c r="T180" i="1"/>
  <c r="J180" i="1"/>
  <c r="T179" i="1"/>
  <c r="J179" i="1"/>
  <c r="T178" i="1"/>
  <c r="J178" i="1"/>
  <c r="T177" i="1"/>
  <c r="J177" i="1"/>
  <c r="T176" i="1"/>
  <c r="J176" i="1"/>
  <c r="T175" i="1"/>
  <c r="J175" i="1"/>
  <c r="T174" i="1"/>
  <c r="J174" i="1"/>
  <c r="T173" i="1"/>
  <c r="J173" i="1"/>
  <c r="T172" i="1"/>
  <c r="J172" i="1"/>
  <c r="T171" i="1"/>
  <c r="J171" i="1"/>
  <c r="T170" i="1"/>
  <c r="J170" i="1"/>
  <c r="T169" i="1"/>
  <c r="J169" i="1"/>
  <c r="T168" i="1"/>
  <c r="J168" i="1"/>
  <c r="T167" i="1"/>
  <c r="J167" i="1"/>
  <c r="T166" i="1"/>
  <c r="J166" i="1"/>
  <c r="T165" i="1"/>
  <c r="J165" i="1"/>
  <c r="T164" i="1"/>
  <c r="J164" i="1"/>
  <c r="T163" i="1"/>
  <c r="J163" i="1"/>
  <c r="T162" i="1"/>
  <c r="J162" i="1"/>
  <c r="T161" i="1"/>
  <c r="J161" i="1"/>
  <c r="T160" i="1"/>
  <c r="J160" i="1"/>
  <c r="T159" i="1"/>
  <c r="J159" i="1"/>
  <c r="T158" i="1"/>
  <c r="J158" i="1"/>
  <c r="T157" i="1"/>
  <c r="J157" i="1"/>
  <c r="T156" i="1"/>
  <c r="J156" i="1"/>
  <c r="T155" i="1"/>
  <c r="J155" i="1"/>
  <c r="T154" i="1"/>
  <c r="J154" i="1"/>
  <c r="T153" i="1"/>
  <c r="J153" i="1"/>
  <c r="T152" i="1"/>
  <c r="J152" i="1"/>
  <c r="T151" i="1"/>
  <c r="J151" i="1"/>
  <c r="T150" i="1"/>
  <c r="J150" i="1"/>
  <c r="T149" i="1"/>
  <c r="J149" i="1"/>
  <c r="T148" i="1"/>
  <c r="J148" i="1"/>
  <c r="T147" i="1"/>
  <c r="J147" i="1"/>
  <c r="T146" i="1"/>
  <c r="J146" i="1"/>
  <c r="T145" i="1"/>
  <c r="J145" i="1"/>
  <c r="T144" i="1"/>
  <c r="J144" i="1"/>
  <c r="T143" i="1"/>
  <c r="J143" i="1"/>
  <c r="T142" i="1"/>
  <c r="J142" i="1"/>
  <c r="T141" i="1"/>
  <c r="J141" i="1"/>
  <c r="T140" i="1"/>
  <c r="J140" i="1"/>
  <c r="T139" i="1"/>
  <c r="J139" i="1"/>
  <c r="T138" i="1"/>
  <c r="J138" i="1"/>
  <c r="T137" i="1"/>
  <c r="J137" i="1"/>
  <c r="T136" i="1"/>
  <c r="J136" i="1"/>
  <c r="T135" i="1"/>
  <c r="J135" i="1"/>
  <c r="T134" i="1"/>
  <c r="J134" i="1"/>
  <c r="T133" i="1"/>
  <c r="J133" i="1"/>
  <c r="T132" i="1"/>
  <c r="J132" i="1"/>
  <c r="T131" i="1"/>
  <c r="J131" i="1"/>
  <c r="T130" i="1"/>
  <c r="J130" i="1"/>
  <c r="T129" i="1"/>
  <c r="J129" i="1"/>
  <c r="T128" i="1"/>
  <c r="J128" i="1"/>
  <c r="T127" i="1"/>
  <c r="J127" i="1"/>
  <c r="T126" i="1"/>
  <c r="J126" i="1"/>
  <c r="T125" i="1"/>
  <c r="J125" i="1"/>
  <c r="T124" i="1"/>
  <c r="J124" i="1"/>
  <c r="T123" i="1"/>
  <c r="J123" i="1"/>
  <c r="T122" i="1"/>
  <c r="J122" i="1"/>
  <c r="T121" i="1"/>
  <c r="J121" i="1"/>
  <c r="T120" i="1"/>
  <c r="J120" i="1"/>
  <c r="T119" i="1"/>
  <c r="J119" i="1"/>
  <c r="T118" i="1"/>
  <c r="J118" i="1"/>
  <c r="T117" i="1"/>
  <c r="J117" i="1"/>
  <c r="T116" i="1"/>
  <c r="J116" i="1"/>
  <c r="T115" i="1"/>
  <c r="J115" i="1"/>
  <c r="T114" i="1"/>
  <c r="J114" i="1"/>
  <c r="T113" i="1"/>
  <c r="J113" i="1"/>
  <c r="T112" i="1"/>
  <c r="J112" i="1"/>
  <c r="T111" i="1"/>
  <c r="J111" i="1"/>
  <c r="T110" i="1"/>
  <c r="J110" i="1"/>
  <c r="T109" i="1"/>
  <c r="J109" i="1"/>
  <c r="T108" i="1"/>
  <c r="J108" i="1"/>
  <c r="T107" i="1"/>
  <c r="J107" i="1"/>
  <c r="T106" i="1"/>
  <c r="J106" i="1"/>
  <c r="T105" i="1"/>
  <c r="J105" i="1"/>
  <c r="T104" i="1"/>
  <c r="J104" i="1"/>
  <c r="T103" i="1"/>
  <c r="J103" i="1"/>
  <c r="T102" i="1"/>
  <c r="J102" i="1"/>
  <c r="T101" i="1"/>
  <c r="J101" i="1"/>
  <c r="T100" i="1"/>
  <c r="J100" i="1"/>
  <c r="T99" i="1"/>
  <c r="J99" i="1"/>
  <c r="T98" i="1"/>
  <c r="J98" i="1"/>
  <c r="T97" i="1"/>
  <c r="J97" i="1"/>
  <c r="T96" i="1"/>
  <c r="J96" i="1"/>
  <c r="T95" i="1"/>
  <c r="J95" i="1"/>
  <c r="T94" i="1"/>
  <c r="J94" i="1"/>
  <c r="T93" i="1"/>
  <c r="J93" i="1"/>
  <c r="T92" i="1"/>
  <c r="J92" i="1"/>
  <c r="T91" i="1"/>
  <c r="J91" i="1"/>
  <c r="T90" i="1"/>
  <c r="J90" i="1"/>
  <c r="T89" i="1"/>
  <c r="J89" i="1"/>
  <c r="T88" i="1"/>
  <c r="J88" i="1"/>
  <c r="T87" i="1"/>
  <c r="J87" i="1"/>
  <c r="T86" i="1"/>
  <c r="J86" i="1"/>
  <c r="T85" i="1"/>
  <c r="J85" i="1"/>
  <c r="T84" i="1"/>
  <c r="J84" i="1"/>
  <c r="T83" i="1"/>
  <c r="J83" i="1"/>
  <c r="T82" i="1"/>
  <c r="J82" i="1"/>
  <c r="T81" i="1"/>
  <c r="J81" i="1"/>
  <c r="T80" i="1"/>
  <c r="J80" i="1"/>
  <c r="T79" i="1"/>
  <c r="J79" i="1"/>
  <c r="T78" i="1"/>
  <c r="J78" i="1"/>
  <c r="T77" i="1"/>
  <c r="J77" i="1"/>
  <c r="T76" i="1"/>
  <c r="J76" i="1"/>
  <c r="T75" i="1"/>
  <c r="J75" i="1"/>
  <c r="T74" i="1"/>
  <c r="J74" i="1"/>
  <c r="T73" i="1"/>
  <c r="J73" i="1"/>
  <c r="T72" i="1"/>
  <c r="J72" i="1"/>
  <c r="T71" i="1"/>
  <c r="J71" i="1"/>
  <c r="T70" i="1"/>
  <c r="J70" i="1"/>
  <c r="T69" i="1"/>
  <c r="J69" i="1"/>
  <c r="T68" i="1"/>
  <c r="J68" i="1"/>
  <c r="T67" i="1"/>
  <c r="J67" i="1"/>
  <c r="T66" i="1"/>
  <c r="J66" i="1"/>
  <c r="T65" i="1"/>
  <c r="J65" i="1"/>
  <c r="T64" i="1"/>
  <c r="J64" i="1"/>
  <c r="T63" i="1"/>
  <c r="J63" i="1"/>
  <c r="T62" i="1"/>
  <c r="J62" i="1"/>
  <c r="T61" i="1"/>
  <c r="J61" i="1"/>
  <c r="T60" i="1"/>
  <c r="J60" i="1"/>
  <c r="T59" i="1"/>
  <c r="J59" i="1"/>
  <c r="T58" i="1"/>
  <c r="J58" i="1"/>
  <c r="T57" i="1"/>
  <c r="J57" i="1"/>
  <c r="T56" i="1"/>
  <c r="J56" i="1"/>
  <c r="T55" i="1"/>
  <c r="J55" i="1"/>
  <c r="T54" i="1"/>
  <c r="J54" i="1"/>
  <c r="T53" i="1"/>
  <c r="J53" i="1"/>
  <c r="T52" i="1"/>
  <c r="J52" i="1"/>
  <c r="T51" i="1"/>
  <c r="J51" i="1"/>
  <c r="T50" i="1"/>
  <c r="J50" i="1"/>
  <c r="T49" i="1"/>
  <c r="J49" i="1"/>
  <c r="T48" i="1"/>
  <c r="J48" i="1"/>
  <c r="T47" i="1"/>
  <c r="J47" i="1"/>
  <c r="T46" i="1"/>
  <c r="J46" i="1"/>
  <c r="T45" i="1"/>
  <c r="J45" i="1"/>
  <c r="T44" i="1"/>
  <c r="J44" i="1"/>
  <c r="T43" i="1"/>
  <c r="J43" i="1"/>
  <c r="T42" i="1"/>
  <c r="J42" i="1"/>
  <c r="T41" i="1"/>
  <c r="J41" i="1"/>
  <c r="T40" i="1"/>
  <c r="J40" i="1"/>
  <c r="T39" i="1"/>
  <c r="J39" i="1"/>
  <c r="T38" i="1"/>
  <c r="J38" i="1"/>
  <c r="T37" i="1"/>
  <c r="J37" i="1"/>
  <c r="T36" i="1"/>
  <c r="J36" i="1"/>
  <c r="T35" i="1"/>
  <c r="J35" i="1"/>
  <c r="T34" i="1"/>
  <c r="J34" i="1"/>
  <c r="T33" i="1"/>
  <c r="J33" i="1"/>
  <c r="T32" i="1"/>
  <c r="J32" i="1"/>
  <c r="T31" i="1"/>
  <c r="J31" i="1"/>
  <c r="T30" i="1"/>
  <c r="J30" i="1"/>
  <c r="T29" i="1"/>
  <c r="J29" i="1"/>
  <c r="T28" i="1"/>
  <c r="J28" i="1"/>
  <c r="T27" i="1"/>
  <c r="J27" i="1"/>
  <c r="T26" i="1"/>
  <c r="J26" i="1"/>
  <c r="T25" i="1"/>
  <c r="J25" i="1"/>
  <c r="T24" i="1"/>
  <c r="J24" i="1"/>
  <c r="T23" i="1"/>
  <c r="J23" i="1"/>
  <c r="T22" i="1"/>
  <c r="J22" i="1"/>
  <c r="T21" i="1"/>
  <c r="J21" i="1"/>
  <c r="T20" i="1"/>
  <c r="J20" i="1"/>
  <c r="T19" i="1"/>
  <c r="J19" i="1"/>
  <c r="T18" i="1"/>
  <c r="J18" i="1"/>
  <c r="T17" i="1"/>
  <c r="J17" i="1"/>
  <c r="T16" i="1"/>
  <c r="J16" i="1"/>
  <c r="T15" i="1"/>
  <c r="J15" i="1"/>
  <c r="T14" i="1"/>
  <c r="J14" i="1"/>
  <c r="T13" i="1"/>
  <c r="J13" i="1"/>
  <c r="T12" i="1"/>
  <c r="J12" i="1"/>
  <c r="T11" i="1"/>
  <c r="J11" i="1"/>
  <c r="T10" i="1"/>
  <c r="J10" i="1"/>
  <c r="T9" i="1"/>
  <c r="J9" i="1"/>
  <c r="T8" i="1"/>
  <c r="J8" i="1"/>
  <c r="T7" i="1"/>
  <c r="J7" i="1"/>
  <c r="T6" i="1"/>
  <c r="J6" i="1"/>
  <c r="T5" i="1"/>
  <c r="J5" i="1"/>
  <c r="T4" i="1"/>
  <c r="J4" i="1"/>
  <c r="T3" i="1"/>
  <c r="J3" i="1"/>
  <c r="T2" i="1"/>
  <c r="J2" i="1"/>
</calcChain>
</file>

<file path=xl/sharedStrings.xml><?xml version="1.0" encoding="utf-8"?>
<sst xmlns="http://schemas.openxmlformats.org/spreadsheetml/2006/main" count="1557" uniqueCount="135">
  <si>
    <t>Identifier</t>
  </si>
  <si>
    <t>Repeat no</t>
  </si>
  <si>
    <t>PDA</t>
  </si>
  <si>
    <t>Commune</t>
  </si>
  <si>
    <t>Cult</t>
  </si>
  <si>
    <t>SUP/HA</t>
  </si>
  <si>
    <t>Prod_estim</t>
  </si>
  <si>
    <t>Prod TOTALE</t>
  </si>
  <si>
    <t>UNE PARTIE_PROD</t>
  </si>
  <si>
    <t>Prod(Global)</t>
  </si>
  <si>
    <t>PROD TOTALE/KG</t>
  </si>
  <si>
    <t xml:space="preserve"> SUPERFICIE/ M²</t>
  </si>
  <si>
    <t xml:space="preserve"> PROD SURFACE (en Kg) ?</t>
  </si>
  <si>
    <t>RECEPT_FUMURE</t>
  </si>
  <si>
    <t xml:space="preserve">SI OUI,TYPE D’ENGRAIS </t>
  </si>
  <si>
    <t xml:space="preserve">TYPES DE PESTICIDE </t>
  </si>
  <si>
    <t>SI PESTICIDES CHIMIQUES</t>
  </si>
  <si>
    <t>SI PESTICIDES BIOLOGIQUES</t>
  </si>
  <si>
    <t xml:space="preserve"> REVENU </t>
  </si>
  <si>
    <t>Rendement</t>
  </si>
  <si>
    <t>xg38-69bh-dfg3</t>
  </si>
  <si>
    <t>PDA4</t>
  </si>
  <si>
    <t>NIKKI</t>
  </si>
  <si>
    <t>CHOUX</t>
  </si>
  <si>
    <t>UNE PARTIE DE LA PRODUCTION</t>
  </si>
  <si>
    <t>OUI</t>
  </si>
  <si>
    <t>MINERALE</t>
  </si>
  <si>
    <t>CHIMIQUE</t>
  </si>
  <si>
    <t>PESTICIDES (en Litre)</t>
  </si>
  <si>
    <t>ACCÉLÉRATEUR DE CROISSANCE (en Litre)</t>
  </si>
  <si>
    <t>e4tt-62sa-7nhx</t>
  </si>
  <si>
    <t>PDA2</t>
  </si>
  <si>
    <t>SINENDE</t>
  </si>
  <si>
    <t>LAITUE</t>
  </si>
  <si>
    <t>PRODUCTION TOTALE</t>
  </si>
  <si>
    <t>MINERALE + ORGANIQUE</t>
  </si>
  <si>
    <t>HERBICIDE (en Litre)</t>
  </si>
  <si>
    <t>HUILE DE NEEM (en Litre)</t>
  </si>
  <si>
    <t>emcq-7rpn-gyb3</t>
  </si>
  <si>
    <t>BIOLOGIQUE</t>
  </si>
  <si>
    <t>raen-c1cb-k7x3</t>
  </si>
  <si>
    <t>PERERE</t>
  </si>
  <si>
    <t>GBOMA</t>
  </si>
  <si>
    <t>tgr7-s6eh-pkjn</t>
  </si>
  <si>
    <t>ffcd-ayr2-3rd8</t>
  </si>
  <si>
    <t>GOMBO</t>
  </si>
  <si>
    <t>g146-yy3r-vunc</t>
  </si>
  <si>
    <t>TCHAOUROU</t>
  </si>
  <si>
    <t>CAROTTE</t>
  </si>
  <si>
    <t>ORGANIQUE</t>
  </si>
  <si>
    <t>s5sf-ppvx-vrrv</t>
  </si>
  <si>
    <t>AMPLIFICATEUR DE CROISSANCE (en Litre)</t>
  </si>
  <si>
    <t>AUTRE A PRECISER</t>
  </si>
  <si>
    <t>sjn2-uyue-8r69</t>
  </si>
  <si>
    <t>TOMATE</t>
  </si>
  <si>
    <t>spdg-yvgf-6st4</t>
  </si>
  <si>
    <t>CORETTE POTAGERE (Crincin)</t>
  </si>
  <si>
    <t>62nw-kn3g-ysj0</t>
  </si>
  <si>
    <t>PIMENT</t>
  </si>
  <si>
    <t>AUBERGINE</t>
  </si>
  <si>
    <t>tf8e-ajt9-8kr7</t>
  </si>
  <si>
    <t>41ms-shg5-2dy2</t>
  </si>
  <si>
    <t>nkae-tras-65dt</t>
  </si>
  <si>
    <t>u2bj-fq2j-712k</t>
  </si>
  <si>
    <t>vpp4-re41-pm0x</t>
  </si>
  <si>
    <t>PARAKOU</t>
  </si>
  <si>
    <t>NON</t>
  </si>
  <si>
    <t>2xu1-sh15-jjs4</t>
  </si>
  <si>
    <t>0jw3-0rc2-0bhk</t>
  </si>
  <si>
    <t>CONCOMBRES</t>
  </si>
  <si>
    <t>xred-hbhn-m4hj</t>
  </si>
  <si>
    <t>9nfp-1r9q-arjm</t>
  </si>
  <si>
    <t>hmdv-5f7g-kebw</t>
  </si>
  <si>
    <t>t0mc-43gj-x8qj</t>
  </si>
  <si>
    <t>9rs5-thnc-5ahb</t>
  </si>
  <si>
    <t>7gyx-1w10-62ab</t>
  </si>
  <si>
    <t>m4qf-wmhj-u5er</t>
  </si>
  <si>
    <t>HARICOT VERT</t>
  </si>
  <si>
    <t>a1xh-x12w-vnm3</t>
  </si>
  <si>
    <t>0w5t-8msp-12qd</t>
  </si>
  <si>
    <t>9k3a-cjer-1d0h</t>
  </si>
  <si>
    <t>t4a4-2f3u-2x4j</t>
  </si>
  <si>
    <t>xw5j-a53r-59he</t>
  </si>
  <si>
    <t>e7s7-bg69-kpyg</t>
  </si>
  <si>
    <t>6vwg-gyqb-8061</t>
  </si>
  <si>
    <t>w3mr-4gyv-2485</t>
  </si>
  <si>
    <t>twnx-c05h-yv9v</t>
  </si>
  <si>
    <t>qduu-nr5f-e8b8</t>
  </si>
  <si>
    <t>pxcf-90n4-431y</t>
  </si>
  <si>
    <t>985b-e8cr-30gc</t>
  </si>
  <si>
    <t>srp4-g81w-9ca5</t>
  </si>
  <si>
    <t>ypm1-jg68-m87w</t>
  </si>
  <si>
    <t>q69n-phtq-xk5g</t>
  </si>
  <si>
    <t>TCHIAYO</t>
  </si>
  <si>
    <t>1hkm-de09-91at</t>
  </si>
  <si>
    <t>hp36-smqb-bskg</t>
  </si>
  <si>
    <t>2ter-cwbt-bbt6</t>
  </si>
  <si>
    <t>PASTÈQUE</t>
  </si>
  <si>
    <t>heeg-tghv-ayhb</t>
  </si>
  <si>
    <t>p7pp-g7hp-stc5</t>
  </si>
  <si>
    <t>8nhj-qf2r-q5b0</t>
  </si>
  <si>
    <t>1dyw-v4y2-679c</t>
  </si>
  <si>
    <t>9ky2-kt9a-jx6n</t>
  </si>
  <si>
    <t>kyg8-m6bd-287g</t>
  </si>
  <si>
    <t>5m4q-aev8-5ymn</t>
  </si>
  <si>
    <t>nus5-k5bn-4ydn</t>
  </si>
  <si>
    <t>7ce4-sv0n-dbj2</t>
  </si>
  <si>
    <t>00at-gjje-akss</t>
  </si>
  <si>
    <t>3d39-bq19-edyf</t>
  </si>
  <si>
    <t>dy2s-nb74-2rpj</t>
  </si>
  <si>
    <t>jbm0-pbfv-vmr2</t>
  </si>
  <si>
    <t>8kqn-xqfu-10rb</t>
  </si>
  <si>
    <t>NDALI</t>
  </si>
  <si>
    <t>xvtg-0150-y9ke</t>
  </si>
  <si>
    <t>e0hd-sytk-ba4u</t>
  </si>
  <si>
    <t>8k7h-pav4-818e</t>
  </si>
  <si>
    <t>yvd0-g3b8-kfsx</t>
  </si>
  <si>
    <t>wghe-nfmx-nfa6</t>
  </si>
  <si>
    <t>164e-u3hg-fvv9</t>
  </si>
  <si>
    <t>KALALE</t>
  </si>
  <si>
    <t>q9q1-nsg1-44p6</t>
  </si>
  <si>
    <t>k2j5-n4as-jyvm</t>
  </si>
  <si>
    <t>gb0n-76cy-dbpn</t>
  </si>
  <si>
    <t>8177-xrd6-q7jx</t>
  </si>
  <si>
    <t>3224-cs58-5c7j</t>
  </si>
  <si>
    <t>BEMBEREKE</t>
  </si>
  <si>
    <t>kdda-44qd-t5kr</t>
  </si>
  <si>
    <t>3snj-u8b0-6g3f</t>
  </si>
  <si>
    <t>hrgx-ew82-a0qk</t>
  </si>
  <si>
    <t>rgrd-jb3g-yv88</t>
  </si>
  <si>
    <t>yj66-0nnt-tx6w</t>
  </si>
  <si>
    <t>vn5n-3p40-dtna</t>
  </si>
  <si>
    <t>qrfc-xmg5-s7dh</t>
  </si>
  <si>
    <t>nges-6unb-uk48</t>
  </si>
  <si>
    <t>anmw-3qrp-0kqf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</si>
</sst>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  <xf numFmtId="0" fontId="3" fillId="0" borderId="0" xfId="0" applyFont="1"/>
    <xf numFmtId="49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0570F3-33AD-4E94-93D0-D6D02C5E5379}" name="Tableau2" displayName="Tableau2" ref="A1:T216" totalsRowShown="0" headerRowDxfId="6">
  <autoFilter ref="A1:T216" xr:uid="{00000000-0009-0000-0100-000001000000}"/>
  <tableColumns count="20">
    <tableColumn id="1" xr3:uid="{4894A270-4D59-42E9-B41C-18E9F4749ED6}" name="Identifier"/>
    <tableColumn id="2" xr3:uid="{41B6E9D0-3C01-42B2-8320-C96FD801EAFF}" name="Repeat no"/>
    <tableColumn id="3" xr3:uid="{642646EC-EAF8-4D1F-96DC-ACBB53A5A698}" name="PDA"/>
    <tableColumn id="4" xr3:uid="{AAD97108-BD56-4059-BB97-4E600E2BA162}" name="Commune"/>
    <tableColumn id="5" xr3:uid="{5A4346CF-2A94-4164-90E4-4800E4F82133}" name="Cult" dataDxfId="5"/>
    <tableColumn id="6" xr3:uid="{B11A77CF-E1BC-4081-8219-C0FE17BB72E7}" name="SUP/HA"/>
    <tableColumn id="7" xr3:uid="{7F2D811B-173B-4A1F-A0FA-D5E1A420B5CD}" name="Prod_estim" dataDxfId="4"/>
    <tableColumn id="8" xr3:uid="{FB3E3E40-FFB2-4EB4-BF80-6A66C1295809}" name="Prod TOTALE"/>
    <tableColumn id="9" xr3:uid="{3BBF35F9-C715-4278-BFFB-E4027E0276F6}" name="UNE PARTIE_PROD"/>
    <tableColumn id="21" xr3:uid="{3588EE14-FE9A-4E40-A22B-48C9E40BAB74}" name="Prod(Global)" dataDxfId="3">
      <calculatedColumnFormula>Tableau2[[#This Row],[PROD TOTALE/KG]]+Tableau2[[#This Row],[ PROD SURFACE (en Kg) ?]]</calculatedColumnFormula>
    </tableColumn>
    <tableColumn id="10" xr3:uid="{BC80FE46-22C7-432C-8DC4-3CB8CB837A79}" name="PROD TOTALE/KG"/>
    <tableColumn id="11" xr3:uid="{E88C310C-257F-4315-ACAF-21F08D3FC596}" name=" SUPERFICIE/ M²"/>
    <tableColumn id="12" xr3:uid="{1A57D743-899E-46E5-8790-299B73638FC4}" name=" PROD SURFACE (en Kg) ?"/>
    <tableColumn id="13" xr3:uid="{8A398A9E-ADBA-4975-B369-6E9516EBDD68}" name="RECEPT_FUMURE" dataDxfId="2"/>
    <tableColumn id="14" xr3:uid="{54AC6D81-43E6-455F-9192-1D190D19B5B5}" name="SI OUI,TYPE D’ENGRAIS "/>
    <tableColumn id="15" xr3:uid="{3C4D1C7C-3EEF-4F8A-BBB5-589706D0C95F}" name="TYPES DE PESTICIDE " dataDxfId="1"/>
    <tableColumn id="16" xr3:uid="{555AB7EE-AE2F-4742-B135-BD5155EA4E7E}" name="SI PESTICIDES CHIMIQUES"/>
    <tableColumn id="17" xr3:uid="{336BC48D-8FBA-4134-A5F5-28BA560C8D47}" name="SI PESTICIDES BIOLOGIQUES"/>
    <tableColumn id="18" xr3:uid="{0B8477A4-8559-461C-8AFE-3B20CB16D198}" name=" REVENU "/>
    <tableColumn id="19" xr3:uid="{AE4160F1-5101-4B41-982A-4E239952C8AB}" name="Rendement" dataDxfId="0">
      <calculatedColumnFormula>(Tableau2[[#This Row],[PROD TOTALE/KG]]+Tableau2[[#This Row],[ PROD SURFACE (en Kg) ?]])/Tableau2[[#This Row],[SUP/HA]]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4846-A684-4174-8A74-68652926C5A6}">
  <dimension ref="A1:T220"/>
  <sheetViews>
    <sheetView tabSelected="1" workbookViewId="0">
      <selection activeCell="J2" sqref="J2:J216"/>
    </sheetView>
  </sheetViews>
  <sheetFormatPr baseColWidth="10" defaultColWidth="9.6328125" defaultRowHeight="14.5" x14ac:dyDescent="0.35"/>
  <cols>
    <col min="1" max="2" width="11" customWidth="1"/>
    <col min="3" max="3" width="12.81640625" customWidth="1"/>
    <col min="4" max="4" width="16.6328125" customWidth="1"/>
    <col min="6" max="6" width="11" customWidth="1"/>
    <col min="7" max="7" width="12.6328125" customWidth="1"/>
    <col min="8" max="11" width="11.1796875" customWidth="1"/>
    <col min="12" max="14" width="13.6328125" customWidth="1"/>
    <col min="15" max="15" width="29.1796875" customWidth="1"/>
    <col min="16" max="16" width="17.453125" customWidth="1"/>
    <col min="17" max="17" width="24.36328125" customWidth="1"/>
    <col min="18" max="18" width="26.26953125" customWidth="1"/>
    <col min="19" max="19" width="17.1796875" customWidth="1"/>
  </cols>
  <sheetData>
    <row r="1" spans="1:20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 s="3">
        <v>1</v>
      </c>
      <c r="C2" s="4" t="s">
        <v>21</v>
      </c>
      <c r="D2" s="4" t="s">
        <v>22</v>
      </c>
      <c r="E2" s="4" t="s">
        <v>23</v>
      </c>
      <c r="F2">
        <v>0.25</v>
      </c>
      <c r="G2" s="4" t="s">
        <v>24</v>
      </c>
      <c r="H2">
        <v>0</v>
      </c>
      <c r="I2">
        <v>1</v>
      </c>
      <c r="J2">
        <f>Tableau2[[#This Row],[PROD TOTALE/KG]]+Tableau2[[#This Row],[ PROD SURFACE (en Kg) ?]]</f>
        <v>500</v>
      </c>
      <c r="L2">
        <v>2500</v>
      </c>
      <c r="M2">
        <v>500</v>
      </c>
      <c r="N2" s="4" t="s">
        <v>25</v>
      </c>
      <c r="O2" s="4" t="s">
        <v>26</v>
      </c>
      <c r="P2" s="4" t="s">
        <v>27</v>
      </c>
      <c r="Q2" s="4" t="s">
        <v>28</v>
      </c>
      <c r="R2" s="4" t="s">
        <v>29</v>
      </c>
      <c r="S2">
        <v>50000</v>
      </c>
      <c r="T2">
        <f>(Tableau2[[#This Row],[PROD TOTALE/KG]]+Tableau2[[#This Row],[ PROD SURFACE (en Kg) ?]])/Tableau2[[#This Row],[SUP/HA]]</f>
        <v>2000</v>
      </c>
    </row>
    <row r="3" spans="1:20" x14ac:dyDescent="0.35">
      <c r="A3" t="s">
        <v>30</v>
      </c>
      <c r="B3" s="3">
        <v>1</v>
      </c>
      <c r="C3" s="4" t="s">
        <v>31</v>
      </c>
      <c r="D3" s="4" t="s">
        <v>32</v>
      </c>
      <c r="E3" s="4" t="s">
        <v>33</v>
      </c>
      <c r="F3">
        <v>0.25</v>
      </c>
      <c r="G3" s="4" t="s">
        <v>34</v>
      </c>
      <c r="H3">
        <v>1</v>
      </c>
      <c r="I3">
        <v>0</v>
      </c>
      <c r="J3">
        <f>Tableau2[[#This Row],[PROD TOTALE/KG]]+Tableau2[[#This Row],[ PROD SURFACE (en Kg) ?]]</f>
        <v>25</v>
      </c>
      <c r="K3">
        <v>25</v>
      </c>
      <c r="N3" s="4" t="s">
        <v>25</v>
      </c>
      <c r="O3" s="4" t="s">
        <v>35</v>
      </c>
      <c r="P3" s="4" t="s">
        <v>27</v>
      </c>
      <c r="Q3" s="4" t="s">
        <v>36</v>
      </c>
      <c r="R3" s="4" t="s">
        <v>37</v>
      </c>
      <c r="S3">
        <v>25</v>
      </c>
      <c r="T3">
        <f>(Tableau2[[#This Row],[PROD TOTALE/KG]]+Tableau2[[#This Row],[ PROD SURFACE (en Kg) ?]])/Tableau2[[#This Row],[SUP/HA]]</f>
        <v>100</v>
      </c>
    </row>
    <row r="4" spans="1:20" x14ac:dyDescent="0.35">
      <c r="A4" t="s">
        <v>38</v>
      </c>
      <c r="B4" s="3">
        <v>1</v>
      </c>
      <c r="C4" s="4" t="s">
        <v>31</v>
      </c>
      <c r="D4" s="4" t="s">
        <v>32</v>
      </c>
      <c r="E4" s="4" t="s">
        <v>23</v>
      </c>
      <c r="F4">
        <v>0.25</v>
      </c>
      <c r="G4" s="4" t="s">
        <v>34</v>
      </c>
      <c r="H4">
        <v>1</v>
      </c>
      <c r="I4">
        <v>0</v>
      </c>
      <c r="J4">
        <f>Tableau2[[#This Row],[PROD TOTALE/KG]]+Tableau2[[#This Row],[ PROD SURFACE (en Kg) ?]]</f>
        <v>20</v>
      </c>
      <c r="K4">
        <v>20</v>
      </c>
      <c r="N4" s="4" t="s">
        <v>25</v>
      </c>
      <c r="O4" s="4" t="s">
        <v>35</v>
      </c>
      <c r="P4" s="4" t="s">
        <v>39</v>
      </c>
      <c r="R4" s="4" t="s">
        <v>29</v>
      </c>
      <c r="S4">
        <v>30</v>
      </c>
      <c r="T4">
        <f>(Tableau2[[#This Row],[PROD TOTALE/KG]]+Tableau2[[#This Row],[ PROD SURFACE (en Kg) ?]])/Tableau2[[#This Row],[SUP/HA]]</f>
        <v>80</v>
      </c>
    </row>
    <row r="5" spans="1:20" x14ac:dyDescent="0.35">
      <c r="A5" t="s">
        <v>40</v>
      </c>
      <c r="B5" s="3">
        <v>1</v>
      </c>
      <c r="C5" s="4" t="s">
        <v>21</v>
      </c>
      <c r="D5" s="4" t="s">
        <v>41</v>
      </c>
      <c r="E5" s="4" t="s">
        <v>42</v>
      </c>
      <c r="F5">
        <v>2</v>
      </c>
      <c r="G5" s="4" t="s">
        <v>34</v>
      </c>
      <c r="H5">
        <v>1</v>
      </c>
      <c r="I5">
        <v>0</v>
      </c>
      <c r="J5">
        <f>Tableau2[[#This Row],[PROD TOTALE/KG]]+Tableau2[[#This Row],[ PROD SURFACE (en Kg) ?]]</f>
        <v>500</v>
      </c>
      <c r="K5">
        <v>500</v>
      </c>
      <c r="N5" s="4" t="s">
        <v>25</v>
      </c>
      <c r="O5" s="4" t="s">
        <v>35</v>
      </c>
      <c r="P5" s="4" t="s">
        <v>27</v>
      </c>
      <c r="Q5" s="4" t="s">
        <v>36</v>
      </c>
      <c r="R5" s="4" t="s">
        <v>37</v>
      </c>
      <c r="S5">
        <v>50000</v>
      </c>
      <c r="T5">
        <f>(Tableau2[[#This Row],[PROD TOTALE/KG]]+Tableau2[[#This Row],[ PROD SURFACE (en Kg) ?]])/Tableau2[[#This Row],[SUP/HA]]</f>
        <v>250</v>
      </c>
    </row>
    <row r="6" spans="1:20" x14ac:dyDescent="0.35">
      <c r="A6" t="s">
        <v>40</v>
      </c>
      <c r="B6" s="3">
        <v>2</v>
      </c>
      <c r="D6" s="4" t="s">
        <v>41</v>
      </c>
      <c r="E6" s="4" t="s">
        <v>33</v>
      </c>
      <c r="F6">
        <v>3</v>
      </c>
      <c r="G6" s="4" t="s">
        <v>34</v>
      </c>
      <c r="H6">
        <v>1</v>
      </c>
      <c r="I6">
        <v>0</v>
      </c>
      <c r="J6">
        <f>Tableau2[[#This Row],[PROD TOTALE/KG]]+Tableau2[[#This Row],[ PROD SURFACE (en Kg) ?]]</f>
        <v>200</v>
      </c>
      <c r="K6">
        <v>200</v>
      </c>
      <c r="N6" s="4" t="s">
        <v>25</v>
      </c>
      <c r="O6" s="4" t="s">
        <v>35</v>
      </c>
      <c r="P6" s="4" t="s">
        <v>27</v>
      </c>
      <c r="Q6" s="4" t="s">
        <v>36</v>
      </c>
      <c r="S6">
        <v>100000</v>
      </c>
      <c r="T6">
        <f>(Tableau2[[#This Row],[PROD TOTALE/KG]]+Tableau2[[#This Row],[ PROD SURFACE (en Kg) ?]])/Tableau2[[#This Row],[SUP/HA]]</f>
        <v>66.666666666666671</v>
      </c>
    </row>
    <row r="7" spans="1:20" x14ac:dyDescent="0.35">
      <c r="A7" t="s">
        <v>43</v>
      </c>
      <c r="B7" s="3">
        <v>1</v>
      </c>
      <c r="C7" s="4" t="s">
        <v>21</v>
      </c>
      <c r="D7" s="4" t="s">
        <v>22</v>
      </c>
      <c r="E7" s="4" t="s">
        <v>23</v>
      </c>
      <c r="F7">
        <v>0.75</v>
      </c>
      <c r="G7" s="4" t="s">
        <v>24</v>
      </c>
      <c r="H7">
        <v>0</v>
      </c>
      <c r="I7">
        <v>1</v>
      </c>
      <c r="J7">
        <f>Tableau2[[#This Row],[PROD TOTALE/KG]]+Tableau2[[#This Row],[ PROD SURFACE (en Kg) ?]]</f>
        <v>500</v>
      </c>
      <c r="L7">
        <v>7500</v>
      </c>
      <c r="M7">
        <v>500</v>
      </c>
      <c r="N7" s="4" t="s">
        <v>25</v>
      </c>
      <c r="O7" s="4" t="s">
        <v>26</v>
      </c>
      <c r="P7" s="4" t="s">
        <v>27</v>
      </c>
      <c r="Q7" s="4" t="s">
        <v>36</v>
      </c>
      <c r="S7">
        <v>150000</v>
      </c>
      <c r="T7">
        <f>(Tableau2[[#This Row],[PROD TOTALE/KG]]+Tableau2[[#This Row],[ PROD SURFACE (en Kg) ?]])/Tableau2[[#This Row],[SUP/HA]]</f>
        <v>666.66666666666663</v>
      </c>
    </row>
    <row r="8" spans="1:20" x14ac:dyDescent="0.35">
      <c r="A8" t="s">
        <v>44</v>
      </c>
      <c r="B8" s="3">
        <v>1</v>
      </c>
      <c r="C8" s="4" t="s">
        <v>21</v>
      </c>
      <c r="D8" s="4" t="s">
        <v>22</v>
      </c>
      <c r="E8" s="4" t="s">
        <v>45</v>
      </c>
      <c r="F8">
        <v>0.75</v>
      </c>
      <c r="G8" s="4" t="s">
        <v>34</v>
      </c>
      <c r="H8">
        <v>1</v>
      </c>
      <c r="I8">
        <v>0</v>
      </c>
      <c r="J8">
        <f>Tableau2[[#This Row],[PROD TOTALE/KG]]+Tableau2[[#This Row],[ PROD SURFACE (en Kg) ?]]</f>
        <v>1000</v>
      </c>
      <c r="K8">
        <v>1000</v>
      </c>
      <c r="N8" s="4" t="s">
        <v>25</v>
      </c>
      <c r="O8" s="4" t="s">
        <v>35</v>
      </c>
      <c r="P8" s="4" t="s">
        <v>27</v>
      </c>
      <c r="Q8" s="4" t="s">
        <v>28</v>
      </c>
      <c r="R8" s="4" t="s">
        <v>29</v>
      </c>
      <c r="S8">
        <v>100000</v>
      </c>
      <c r="T8">
        <f>(Tableau2[[#This Row],[PROD TOTALE/KG]]+Tableau2[[#This Row],[ PROD SURFACE (en Kg) ?]])/Tableau2[[#This Row],[SUP/HA]]</f>
        <v>1333.3333333333333</v>
      </c>
    </row>
    <row r="9" spans="1:20" x14ac:dyDescent="0.35">
      <c r="A9" t="s">
        <v>46</v>
      </c>
      <c r="B9" s="3">
        <v>1</v>
      </c>
      <c r="C9" s="4" t="s">
        <v>21</v>
      </c>
      <c r="D9" s="4" t="s">
        <v>47</v>
      </c>
      <c r="E9" s="4" t="s">
        <v>33</v>
      </c>
      <c r="F9">
        <v>1</v>
      </c>
      <c r="G9" s="4" t="s">
        <v>24</v>
      </c>
      <c r="H9">
        <v>0</v>
      </c>
      <c r="I9">
        <v>1</v>
      </c>
      <c r="J9">
        <f>Tableau2[[#This Row],[PROD TOTALE/KG]]+Tableau2[[#This Row],[ PROD SURFACE (en Kg) ?]]</f>
        <v>5</v>
      </c>
      <c r="L9">
        <v>10000</v>
      </c>
      <c r="M9">
        <v>5</v>
      </c>
      <c r="N9" s="4" t="s">
        <v>25</v>
      </c>
      <c r="O9" s="4" t="s">
        <v>35</v>
      </c>
      <c r="P9" s="4" t="s">
        <v>39</v>
      </c>
      <c r="S9">
        <v>60000</v>
      </c>
      <c r="T9">
        <f>(Tableau2[[#This Row],[PROD TOTALE/KG]]+Tableau2[[#This Row],[ PROD SURFACE (en Kg) ?]])/Tableau2[[#This Row],[SUP/HA]]</f>
        <v>5</v>
      </c>
    </row>
    <row r="10" spans="1:20" x14ac:dyDescent="0.35">
      <c r="A10" t="s">
        <v>46</v>
      </c>
      <c r="B10" s="3">
        <v>2</v>
      </c>
      <c r="D10" s="4" t="s">
        <v>47</v>
      </c>
      <c r="E10" s="4" t="s">
        <v>48</v>
      </c>
      <c r="F10">
        <v>1</v>
      </c>
      <c r="G10" s="4" t="s">
        <v>24</v>
      </c>
      <c r="H10">
        <v>0</v>
      </c>
      <c r="I10">
        <v>1</v>
      </c>
      <c r="J10">
        <f>Tableau2[[#This Row],[PROD TOTALE/KG]]+Tableau2[[#This Row],[ PROD SURFACE (en Kg) ?]]</f>
        <v>6</v>
      </c>
      <c r="L10">
        <v>10000</v>
      </c>
      <c r="M10">
        <v>6</v>
      </c>
      <c r="N10" s="4" t="s">
        <v>25</v>
      </c>
      <c r="O10" s="4" t="s">
        <v>49</v>
      </c>
      <c r="P10" s="4" t="s">
        <v>39</v>
      </c>
      <c r="S10">
        <v>50000</v>
      </c>
      <c r="T10">
        <f>(Tableau2[[#This Row],[PROD TOTALE/KG]]+Tableau2[[#This Row],[ PROD SURFACE (en Kg) ?]])/Tableau2[[#This Row],[SUP/HA]]</f>
        <v>6</v>
      </c>
    </row>
    <row r="11" spans="1:20" x14ac:dyDescent="0.35">
      <c r="A11" t="s">
        <v>50</v>
      </c>
      <c r="B11" s="3">
        <v>1</v>
      </c>
      <c r="C11" s="4" t="s">
        <v>31</v>
      </c>
      <c r="D11" s="4" t="s">
        <v>32</v>
      </c>
      <c r="E11" s="4" t="s">
        <v>33</v>
      </c>
      <c r="F11">
        <v>0.5</v>
      </c>
      <c r="G11" s="4" t="s">
        <v>24</v>
      </c>
      <c r="H11">
        <v>0</v>
      </c>
      <c r="I11">
        <v>1</v>
      </c>
      <c r="J11">
        <f>Tableau2[[#This Row],[PROD TOTALE/KG]]+Tableau2[[#This Row],[ PROD SURFACE (en Kg) ?]]</f>
        <v>1000</v>
      </c>
      <c r="L11">
        <v>8</v>
      </c>
      <c r="M11">
        <v>1000</v>
      </c>
      <c r="N11" s="4" t="s">
        <v>25</v>
      </c>
      <c r="O11" s="4" t="s">
        <v>49</v>
      </c>
      <c r="P11" s="4" t="s">
        <v>27</v>
      </c>
      <c r="Q11" s="4" t="s">
        <v>28</v>
      </c>
      <c r="R11" s="4" t="s">
        <v>51</v>
      </c>
      <c r="S11">
        <v>120000</v>
      </c>
      <c r="T11">
        <f>(Tableau2[[#This Row],[PROD TOTALE/KG]]+Tableau2[[#This Row],[ PROD SURFACE (en Kg) ?]])/Tableau2[[#This Row],[SUP/HA]]</f>
        <v>2000</v>
      </c>
    </row>
    <row r="12" spans="1:20" x14ac:dyDescent="0.35">
      <c r="A12" t="s">
        <v>50</v>
      </c>
      <c r="B12" s="3">
        <v>2</v>
      </c>
      <c r="D12" s="4" t="s">
        <v>32</v>
      </c>
      <c r="E12" s="4" t="s">
        <v>45</v>
      </c>
      <c r="F12">
        <v>0.5</v>
      </c>
      <c r="G12" s="4" t="s">
        <v>24</v>
      </c>
      <c r="H12">
        <v>0</v>
      </c>
      <c r="I12">
        <v>1</v>
      </c>
      <c r="J12">
        <f>Tableau2[[#This Row],[PROD TOTALE/KG]]+Tableau2[[#This Row],[ PROD SURFACE (en Kg) ?]]</f>
        <v>750</v>
      </c>
      <c r="L12">
        <v>16</v>
      </c>
      <c r="M12">
        <v>750</v>
      </c>
      <c r="N12" s="4" t="s">
        <v>25</v>
      </c>
      <c r="O12" s="4" t="s">
        <v>49</v>
      </c>
      <c r="P12" s="4" t="s">
        <v>27</v>
      </c>
      <c r="Q12" s="4" t="s">
        <v>28</v>
      </c>
      <c r="R12" s="4" t="s">
        <v>52</v>
      </c>
      <c r="S12">
        <v>60000</v>
      </c>
      <c r="T12">
        <f>(Tableau2[[#This Row],[PROD TOTALE/KG]]+Tableau2[[#This Row],[ PROD SURFACE (en Kg) ?]])/Tableau2[[#This Row],[SUP/HA]]</f>
        <v>1500</v>
      </c>
    </row>
    <row r="13" spans="1:20" x14ac:dyDescent="0.35">
      <c r="A13" t="s">
        <v>53</v>
      </c>
      <c r="B13" s="3">
        <v>1</v>
      </c>
      <c r="C13" s="4" t="s">
        <v>21</v>
      </c>
      <c r="D13" s="4" t="s">
        <v>47</v>
      </c>
      <c r="E13" s="4" t="s">
        <v>54</v>
      </c>
      <c r="F13">
        <v>4.5999999999999999E-2</v>
      </c>
      <c r="G13" s="4" t="s">
        <v>34</v>
      </c>
      <c r="H13">
        <v>1</v>
      </c>
      <c r="I13">
        <v>0</v>
      </c>
      <c r="J13">
        <f>Tableau2[[#This Row],[PROD TOTALE/KG]]+Tableau2[[#This Row],[ PROD SURFACE (en Kg) ?]]</f>
        <v>10000</v>
      </c>
      <c r="K13">
        <v>10000</v>
      </c>
      <c r="N13" s="4" t="s">
        <v>25</v>
      </c>
      <c r="O13" s="4" t="s">
        <v>49</v>
      </c>
      <c r="P13" s="4" t="s">
        <v>39</v>
      </c>
      <c r="S13">
        <v>237000</v>
      </c>
      <c r="T13">
        <f>(Tableau2[[#This Row],[PROD TOTALE/KG]]+Tableau2[[#This Row],[ PROD SURFACE (en Kg) ?]])/Tableau2[[#This Row],[SUP/HA]]</f>
        <v>217391.30434782608</v>
      </c>
    </row>
    <row r="14" spans="1:20" x14ac:dyDescent="0.35">
      <c r="A14" t="s">
        <v>53</v>
      </c>
      <c r="B14" s="3">
        <v>2</v>
      </c>
      <c r="D14" s="4" t="s">
        <v>47</v>
      </c>
      <c r="E14" s="4" t="s">
        <v>45</v>
      </c>
      <c r="F14">
        <v>0.05</v>
      </c>
      <c r="G14" s="4" t="s">
        <v>34</v>
      </c>
      <c r="H14">
        <v>1</v>
      </c>
      <c r="I14">
        <v>0</v>
      </c>
      <c r="J14">
        <f>Tableau2[[#This Row],[PROD TOTALE/KG]]+Tableau2[[#This Row],[ PROD SURFACE (en Kg) ?]]</f>
        <v>1.5</v>
      </c>
      <c r="K14">
        <v>1.5</v>
      </c>
      <c r="N14" s="4" t="s">
        <v>25</v>
      </c>
      <c r="O14" s="4" t="s">
        <v>49</v>
      </c>
      <c r="P14" s="4" t="s">
        <v>39</v>
      </c>
      <c r="S14">
        <v>465000</v>
      </c>
      <c r="T14">
        <f>(Tableau2[[#This Row],[PROD TOTALE/KG]]+Tableau2[[#This Row],[ PROD SURFACE (en Kg) ?]])/Tableau2[[#This Row],[SUP/HA]]</f>
        <v>30</v>
      </c>
    </row>
    <row r="15" spans="1:20" x14ac:dyDescent="0.35">
      <c r="A15" t="s">
        <v>55</v>
      </c>
      <c r="B15" s="3">
        <v>1</v>
      </c>
      <c r="C15" s="4" t="s">
        <v>21</v>
      </c>
      <c r="D15" s="4" t="s">
        <v>47</v>
      </c>
      <c r="E15" s="4" t="s">
        <v>54</v>
      </c>
      <c r="F15">
        <v>2</v>
      </c>
      <c r="G15" s="4" t="s">
        <v>34</v>
      </c>
      <c r="H15">
        <v>1</v>
      </c>
      <c r="I15">
        <v>0</v>
      </c>
      <c r="J15">
        <f>Tableau2[[#This Row],[PROD TOTALE/KG]]+Tableau2[[#This Row],[ PROD SURFACE (en Kg) ?]]</f>
        <v>1500</v>
      </c>
      <c r="K15">
        <v>1500</v>
      </c>
      <c r="N15" s="4" t="s">
        <v>25</v>
      </c>
      <c r="O15" s="4" t="s">
        <v>35</v>
      </c>
      <c r="P15" s="4" t="s">
        <v>39</v>
      </c>
      <c r="S15">
        <v>200000</v>
      </c>
      <c r="T15">
        <f>(Tableau2[[#This Row],[PROD TOTALE/KG]]+Tableau2[[#This Row],[ PROD SURFACE (en Kg) ?]])/Tableau2[[#This Row],[SUP/HA]]</f>
        <v>750</v>
      </c>
    </row>
    <row r="16" spans="1:20" x14ac:dyDescent="0.35">
      <c r="A16" t="s">
        <v>55</v>
      </c>
      <c r="B16" s="3">
        <v>2</v>
      </c>
      <c r="D16" s="4" t="s">
        <v>47</v>
      </c>
      <c r="E16" s="4" t="s">
        <v>56</v>
      </c>
      <c r="F16">
        <v>0.25</v>
      </c>
      <c r="G16" s="4" t="s">
        <v>34</v>
      </c>
      <c r="H16">
        <v>1</v>
      </c>
      <c r="I16">
        <v>0</v>
      </c>
      <c r="J16">
        <f>Tableau2[[#This Row],[PROD TOTALE/KG]]+Tableau2[[#This Row],[ PROD SURFACE (en Kg) ?]]</f>
        <v>1800</v>
      </c>
      <c r="K16">
        <v>1800</v>
      </c>
      <c r="N16" s="4" t="s">
        <v>25</v>
      </c>
      <c r="O16" s="4" t="s">
        <v>35</v>
      </c>
      <c r="P16" s="4" t="s">
        <v>39</v>
      </c>
      <c r="S16">
        <v>1000000</v>
      </c>
      <c r="T16">
        <f>(Tableau2[[#This Row],[PROD TOTALE/KG]]+Tableau2[[#This Row],[ PROD SURFACE (en Kg) ?]])/Tableau2[[#This Row],[SUP/HA]]</f>
        <v>7200</v>
      </c>
    </row>
    <row r="17" spans="1:20" x14ac:dyDescent="0.35">
      <c r="A17" t="s">
        <v>55</v>
      </c>
      <c r="B17" s="3">
        <v>3</v>
      </c>
      <c r="D17" s="4" t="s">
        <v>47</v>
      </c>
      <c r="E17" s="4" t="s">
        <v>45</v>
      </c>
      <c r="F17">
        <v>0.13</v>
      </c>
      <c r="G17" s="4" t="s">
        <v>34</v>
      </c>
      <c r="H17">
        <v>1</v>
      </c>
      <c r="I17">
        <v>0</v>
      </c>
      <c r="J17">
        <f>Tableau2[[#This Row],[PROD TOTALE/KG]]+Tableau2[[#This Row],[ PROD SURFACE (en Kg) ?]]</f>
        <v>3000</v>
      </c>
      <c r="K17">
        <v>3000</v>
      </c>
      <c r="N17" s="4" t="s">
        <v>25</v>
      </c>
      <c r="O17" s="4" t="s">
        <v>35</v>
      </c>
      <c r="P17" s="4" t="s">
        <v>39</v>
      </c>
      <c r="S17">
        <v>570000</v>
      </c>
      <c r="T17">
        <f>(Tableau2[[#This Row],[PROD TOTALE/KG]]+Tableau2[[#This Row],[ PROD SURFACE (en Kg) ?]])/Tableau2[[#This Row],[SUP/HA]]</f>
        <v>23076.923076923074</v>
      </c>
    </row>
    <row r="18" spans="1:20" x14ac:dyDescent="0.35">
      <c r="A18" t="s">
        <v>57</v>
      </c>
      <c r="B18" s="3">
        <v>1</v>
      </c>
      <c r="C18" s="4" t="s">
        <v>21</v>
      </c>
      <c r="D18" s="4" t="s">
        <v>22</v>
      </c>
      <c r="E18" s="4" t="s">
        <v>45</v>
      </c>
      <c r="F18">
        <v>0.2</v>
      </c>
      <c r="G18" s="4" t="s">
        <v>24</v>
      </c>
      <c r="H18">
        <v>0</v>
      </c>
      <c r="I18">
        <v>1</v>
      </c>
      <c r="J18">
        <f>Tableau2[[#This Row],[PROD TOTALE/KG]]+Tableau2[[#This Row],[ PROD SURFACE (en Kg) ?]]</f>
        <v>1000</v>
      </c>
      <c r="L18">
        <v>2000</v>
      </c>
      <c r="M18">
        <v>1000</v>
      </c>
      <c r="N18" s="4" t="s">
        <v>25</v>
      </c>
      <c r="O18" s="4" t="s">
        <v>49</v>
      </c>
      <c r="P18" s="4" t="s">
        <v>27</v>
      </c>
      <c r="Q18" s="4" t="s">
        <v>28</v>
      </c>
      <c r="R18" s="4" t="s">
        <v>37</v>
      </c>
      <c r="S18">
        <v>250000</v>
      </c>
      <c r="T18">
        <f>(Tableau2[[#This Row],[PROD TOTALE/KG]]+Tableau2[[#This Row],[ PROD SURFACE (en Kg) ?]])/Tableau2[[#This Row],[SUP/HA]]</f>
        <v>5000</v>
      </c>
    </row>
    <row r="19" spans="1:20" x14ac:dyDescent="0.35">
      <c r="A19" t="s">
        <v>57</v>
      </c>
      <c r="B19" s="3">
        <v>2</v>
      </c>
      <c r="D19" s="4" t="s">
        <v>22</v>
      </c>
      <c r="E19" s="4" t="s">
        <v>54</v>
      </c>
      <c r="F19">
        <v>0.15</v>
      </c>
      <c r="G19" s="4" t="s">
        <v>24</v>
      </c>
      <c r="H19">
        <v>0</v>
      </c>
      <c r="I19">
        <v>1</v>
      </c>
      <c r="J19">
        <f>Tableau2[[#This Row],[PROD TOTALE/KG]]+Tableau2[[#This Row],[ PROD SURFACE (en Kg) ?]]</f>
        <v>1500</v>
      </c>
      <c r="L19">
        <v>1500</v>
      </c>
      <c r="M19">
        <v>1500</v>
      </c>
      <c r="N19" s="4" t="s">
        <v>25</v>
      </c>
      <c r="O19" s="4" t="s">
        <v>49</v>
      </c>
      <c r="P19" s="4" t="s">
        <v>27</v>
      </c>
      <c r="Q19" s="4" t="s">
        <v>28</v>
      </c>
      <c r="R19" s="4" t="s">
        <v>37</v>
      </c>
      <c r="S19">
        <v>350000</v>
      </c>
      <c r="T19">
        <f>(Tableau2[[#This Row],[PROD TOTALE/KG]]+Tableau2[[#This Row],[ PROD SURFACE (en Kg) ?]])/Tableau2[[#This Row],[SUP/HA]]</f>
        <v>10000</v>
      </c>
    </row>
    <row r="20" spans="1:20" x14ac:dyDescent="0.35">
      <c r="A20" t="s">
        <v>57</v>
      </c>
      <c r="B20" s="3">
        <v>3</v>
      </c>
      <c r="D20" s="4" t="s">
        <v>22</v>
      </c>
      <c r="E20" s="4" t="s">
        <v>58</v>
      </c>
      <c r="F20">
        <v>0.15</v>
      </c>
      <c r="G20" s="4" t="s">
        <v>24</v>
      </c>
      <c r="H20">
        <v>0</v>
      </c>
      <c r="I20">
        <v>1</v>
      </c>
      <c r="J20">
        <f>Tableau2[[#This Row],[PROD TOTALE/KG]]+Tableau2[[#This Row],[ PROD SURFACE (en Kg) ?]]</f>
        <v>2000</v>
      </c>
      <c r="L20">
        <v>1500</v>
      </c>
      <c r="M20">
        <v>2000</v>
      </c>
      <c r="N20" s="4" t="s">
        <v>25</v>
      </c>
      <c r="O20" s="4" t="s">
        <v>49</v>
      </c>
      <c r="P20" s="4" t="s">
        <v>27</v>
      </c>
      <c r="Q20" s="4" t="s">
        <v>28</v>
      </c>
      <c r="R20" s="4" t="s">
        <v>37</v>
      </c>
      <c r="S20">
        <v>400000</v>
      </c>
      <c r="T20">
        <f>(Tableau2[[#This Row],[PROD TOTALE/KG]]+Tableau2[[#This Row],[ PROD SURFACE (en Kg) ?]])/Tableau2[[#This Row],[SUP/HA]]</f>
        <v>13333.333333333334</v>
      </c>
    </row>
    <row r="21" spans="1:20" x14ac:dyDescent="0.35">
      <c r="A21" t="s">
        <v>57</v>
      </c>
      <c r="B21" s="3">
        <v>4</v>
      </c>
      <c r="D21" s="4" t="s">
        <v>22</v>
      </c>
      <c r="E21" s="4" t="s">
        <v>56</v>
      </c>
      <c r="F21">
        <v>0.14000000000000001</v>
      </c>
      <c r="G21" s="4" t="s">
        <v>24</v>
      </c>
      <c r="H21">
        <v>0</v>
      </c>
      <c r="I21">
        <v>1</v>
      </c>
      <c r="J21">
        <f>Tableau2[[#This Row],[PROD TOTALE/KG]]+Tableau2[[#This Row],[ PROD SURFACE (en Kg) ?]]</f>
        <v>5000</v>
      </c>
      <c r="L21">
        <v>1400</v>
      </c>
      <c r="M21">
        <v>5000</v>
      </c>
      <c r="N21" s="4" t="s">
        <v>25</v>
      </c>
      <c r="O21" s="4" t="s">
        <v>49</v>
      </c>
      <c r="P21" s="4" t="s">
        <v>27</v>
      </c>
      <c r="Q21" s="4" t="s">
        <v>28</v>
      </c>
      <c r="R21" s="4" t="s">
        <v>37</v>
      </c>
      <c r="S21">
        <v>600000</v>
      </c>
      <c r="T21">
        <f>(Tableau2[[#This Row],[PROD TOTALE/KG]]+Tableau2[[#This Row],[ PROD SURFACE (en Kg) ?]])/Tableau2[[#This Row],[SUP/HA]]</f>
        <v>35714.28571428571</v>
      </c>
    </row>
    <row r="22" spans="1:20" x14ac:dyDescent="0.35">
      <c r="A22" t="s">
        <v>57</v>
      </c>
      <c r="B22" s="3">
        <v>5</v>
      </c>
      <c r="D22" s="4" t="s">
        <v>22</v>
      </c>
      <c r="E22" s="4" t="s">
        <v>59</v>
      </c>
      <c r="F22">
        <v>0.12</v>
      </c>
      <c r="G22" s="4" t="s">
        <v>24</v>
      </c>
      <c r="H22">
        <v>0</v>
      </c>
      <c r="I22">
        <v>1</v>
      </c>
      <c r="J22">
        <f>Tableau2[[#This Row],[PROD TOTALE/KG]]+Tableau2[[#This Row],[ PROD SURFACE (en Kg) ?]]</f>
        <v>2400</v>
      </c>
      <c r="L22">
        <v>1200</v>
      </c>
      <c r="M22">
        <v>2400</v>
      </c>
      <c r="N22" s="4" t="s">
        <v>25</v>
      </c>
      <c r="O22" s="4" t="s">
        <v>49</v>
      </c>
      <c r="P22" s="4" t="s">
        <v>27</v>
      </c>
      <c r="Q22" s="4" t="s">
        <v>36</v>
      </c>
      <c r="S22">
        <v>325000</v>
      </c>
      <c r="T22">
        <f>(Tableau2[[#This Row],[PROD TOTALE/KG]]+Tableau2[[#This Row],[ PROD SURFACE (en Kg) ?]])/Tableau2[[#This Row],[SUP/HA]]</f>
        <v>20000</v>
      </c>
    </row>
    <row r="23" spans="1:20" x14ac:dyDescent="0.35">
      <c r="A23" t="s">
        <v>60</v>
      </c>
      <c r="B23" s="3">
        <v>1</v>
      </c>
      <c r="C23" s="4" t="s">
        <v>21</v>
      </c>
      <c r="D23" s="4" t="s">
        <v>47</v>
      </c>
      <c r="E23" s="4" t="s">
        <v>58</v>
      </c>
      <c r="F23">
        <v>3</v>
      </c>
      <c r="G23" s="4" t="s">
        <v>34</v>
      </c>
      <c r="H23">
        <v>1</v>
      </c>
      <c r="I23">
        <v>0</v>
      </c>
      <c r="J23">
        <f>Tableau2[[#This Row],[PROD TOTALE/KG]]+Tableau2[[#This Row],[ PROD SURFACE (en Kg) ?]]</f>
        <v>10</v>
      </c>
      <c r="K23">
        <v>10</v>
      </c>
      <c r="N23" s="4" t="s">
        <v>25</v>
      </c>
      <c r="O23" s="4" t="s">
        <v>35</v>
      </c>
      <c r="P23" s="4" t="s">
        <v>27</v>
      </c>
      <c r="Q23" s="4" t="s">
        <v>28</v>
      </c>
      <c r="R23" s="4" t="s">
        <v>29</v>
      </c>
      <c r="S23">
        <v>16500000</v>
      </c>
      <c r="T23">
        <f>(Tableau2[[#This Row],[PROD TOTALE/KG]]+Tableau2[[#This Row],[ PROD SURFACE (en Kg) ?]])/Tableau2[[#This Row],[SUP/HA]]</f>
        <v>3.3333333333333335</v>
      </c>
    </row>
    <row r="24" spans="1:20" x14ac:dyDescent="0.35">
      <c r="A24" t="s">
        <v>60</v>
      </c>
      <c r="B24" s="3">
        <v>2</v>
      </c>
      <c r="D24" s="4" t="s">
        <v>47</v>
      </c>
      <c r="E24" s="4" t="s">
        <v>54</v>
      </c>
      <c r="F24">
        <v>1</v>
      </c>
      <c r="G24" s="4" t="s">
        <v>34</v>
      </c>
      <c r="H24">
        <v>1</v>
      </c>
      <c r="I24">
        <v>0</v>
      </c>
      <c r="J24">
        <f>Tableau2[[#This Row],[PROD TOTALE/KG]]+Tableau2[[#This Row],[ PROD SURFACE (en Kg) ?]]</f>
        <v>7000</v>
      </c>
      <c r="K24">
        <v>7000</v>
      </c>
      <c r="N24" s="4" t="s">
        <v>25</v>
      </c>
      <c r="O24" s="4" t="s">
        <v>35</v>
      </c>
      <c r="P24" s="4" t="s">
        <v>27</v>
      </c>
      <c r="Q24" s="4" t="s">
        <v>28</v>
      </c>
      <c r="R24" s="4" t="s">
        <v>51</v>
      </c>
      <c r="S24">
        <v>1500000</v>
      </c>
      <c r="T24">
        <f>(Tableau2[[#This Row],[PROD TOTALE/KG]]+Tableau2[[#This Row],[ PROD SURFACE (en Kg) ?]])/Tableau2[[#This Row],[SUP/HA]]</f>
        <v>7000</v>
      </c>
    </row>
    <row r="25" spans="1:20" x14ac:dyDescent="0.35">
      <c r="A25" t="s">
        <v>60</v>
      </c>
      <c r="B25" s="3">
        <v>3</v>
      </c>
      <c r="D25" s="4" t="s">
        <v>47</v>
      </c>
      <c r="E25" s="4" t="s">
        <v>45</v>
      </c>
      <c r="F25">
        <v>5</v>
      </c>
      <c r="G25" s="4" t="s">
        <v>24</v>
      </c>
      <c r="H25">
        <v>0</v>
      </c>
      <c r="I25">
        <v>1</v>
      </c>
      <c r="J25">
        <f>Tableau2[[#This Row],[PROD TOTALE/KG]]+Tableau2[[#This Row],[ PROD SURFACE (en Kg) ?]]</f>
        <v>25920</v>
      </c>
      <c r="L25">
        <v>2</v>
      </c>
      <c r="M25">
        <v>25920</v>
      </c>
      <c r="N25" s="4" t="s">
        <v>25</v>
      </c>
      <c r="O25" s="4" t="s">
        <v>35</v>
      </c>
      <c r="P25" s="4" t="s">
        <v>27</v>
      </c>
      <c r="Q25" s="4" t="s">
        <v>28</v>
      </c>
      <c r="R25" s="4" t="s">
        <v>37</v>
      </c>
      <c r="S25">
        <v>576000</v>
      </c>
      <c r="T25">
        <f>(Tableau2[[#This Row],[PROD TOTALE/KG]]+Tableau2[[#This Row],[ PROD SURFACE (en Kg) ?]])/Tableau2[[#This Row],[SUP/HA]]</f>
        <v>5184</v>
      </c>
    </row>
    <row r="26" spans="1:20" x14ac:dyDescent="0.35">
      <c r="A26" t="s">
        <v>60</v>
      </c>
      <c r="B26" s="3">
        <v>4</v>
      </c>
      <c r="D26" s="4" t="s">
        <v>47</v>
      </c>
      <c r="E26" s="4" t="s">
        <v>42</v>
      </c>
      <c r="F26">
        <v>0.25</v>
      </c>
      <c r="G26" s="4" t="s">
        <v>34</v>
      </c>
      <c r="H26">
        <v>1</v>
      </c>
      <c r="I26">
        <v>0</v>
      </c>
      <c r="J26">
        <f>Tableau2[[#This Row],[PROD TOTALE/KG]]+Tableau2[[#This Row],[ PROD SURFACE (en Kg) ?]]</f>
        <v>4800</v>
      </c>
      <c r="K26">
        <v>4800</v>
      </c>
      <c r="N26" s="4" t="s">
        <v>25</v>
      </c>
      <c r="O26" s="4" t="s">
        <v>35</v>
      </c>
      <c r="P26" s="4" t="s">
        <v>27</v>
      </c>
      <c r="Q26" s="4" t="s">
        <v>28</v>
      </c>
      <c r="R26" s="4" t="s">
        <v>51</v>
      </c>
      <c r="S26">
        <v>1200000</v>
      </c>
      <c r="T26">
        <f>(Tableau2[[#This Row],[PROD TOTALE/KG]]+Tableau2[[#This Row],[ PROD SURFACE (en Kg) ?]])/Tableau2[[#This Row],[SUP/HA]]</f>
        <v>19200</v>
      </c>
    </row>
    <row r="27" spans="1:20" x14ac:dyDescent="0.35">
      <c r="A27" t="s">
        <v>61</v>
      </c>
      <c r="B27" s="3">
        <v>5</v>
      </c>
      <c r="C27" s="4" t="s">
        <v>31</v>
      </c>
      <c r="D27" s="4" t="s">
        <v>32</v>
      </c>
      <c r="E27" s="4" t="s">
        <v>33</v>
      </c>
      <c r="F27">
        <v>0.75</v>
      </c>
      <c r="G27" s="4" t="s">
        <v>24</v>
      </c>
      <c r="H27">
        <v>0</v>
      </c>
      <c r="I27">
        <v>1</v>
      </c>
      <c r="J27">
        <f>Tableau2[[#This Row],[PROD TOTALE/KG]]+Tableau2[[#This Row],[ PROD SURFACE (en Kg) ?]]</f>
        <v>500</v>
      </c>
      <c r="L27">
        <v>28</v>
      </c>
      <c r="M27">
        <v>500</v>
      </c>
      <c r="N27" s="4" t="s">
        <v>25</v>
      </c>
      <c r="O27" s="4" t="s">
        <v>35</v>
      </c>
      <c r="P27" s="4" t="s">
        <v>27</v>
      </c>
      <c r="Q27" s="4" t="s">
        <v>28</v>
      </c>
      <c r="R27" s="4" t="s">
        <v>52</v>
      </c>
      <c r="S27">
        <v>120000</v>
      </c>
      <c r="T27">
        <f>(Tableau2[[#This Row],[PROD TOTALE/KG]]+Tableau2[[#This Row],[ PROD SURFACE (en Kg) ?]])/Tableau2[[#This Row],[SUP/HA]]</f>
        <v>666.66666666666663</v>
      </c>
    </row>
    <row r="28" spans="1:20" x14ac:dyDescent="0.35">
      <c r="A28" t="s">
        <v>61</v>
      </c>
      <c r="B28" s="3">
        <v>1</v>
      </c>
      <c r="D28" s="4" t="s">
        <v>32</v>
      </c>
      <c r="E28" s="4" t="s">
        <v>56</v>
      </c>
      <c r="F28">
        <v>0.75</v>
      </c>
      <c r="G28" s="4" t="s">
        <v>24</v>
      </c>
      <c r="H28">
        <v>0</v>
      </c>
      <c r="I28">
        <v>1</v>
      </c>
      <c r="J28">
        <f>Tableau2[[#This Row],[PROD TOTALE/KG]]+Tableau2[[#This Row],[ PROD SURFACE (en Kg) ?]]</f>
        <v>500</v>
      </c>
      <c r="L28">
        <v>24</v>
      </c>
      <c r="M28">
        <v>500</v>
      </c>
      <c r="N28" s="4" t="s">
        <v>25</v>
      </c>
      <c r="O28" s="4" t="s">
        <v>35</v>
      </c>
      <c r="P28" s="4" t="s">
        <v>39</v>
      </c>
      <c r="S28">
        <v>24000</v>
      </c>
      <c r="T28">
        <f>(Tableau2[[#This Row],[PROD TOTALE/KG]]+Tableau2[[#This Row],[ PROD SURFACE (en Kg) ?]])/Tableau2[[#This Row],[SUP/HA]]</f>
        <v>666.66666666666663</v>
      </c>
    </row>
    <row r="29" spans="1:20" x14ac:dyDescent="0.35">
      <c r="A29" t="s">
        <v>61</v>
      </c>
      <c r="B29" s="3">
        <v>2</v>
      </c>
      <c r="D29" s="4" t="s">
        <v>32</v>
      </c>
      <c r="E29" s="4" t="s">
        <v>45</v>
      </c>
      <c r="F29">
        <v>0.75</v>
      </c>
      <c r="G29" s="4" t="s">
        <v>24</v>
      </c>
      <c r="H29">
        <v>0</v>
      </c>
      <c r="I29">
        <v>1</v>
      </c>
      <c r="J29">
        <f>Tableau2[[#This Row],[PROD TOTALE/KG]]+Tableau2[[#This Row],[ PROD SURFACE (en Kg) ?]]</f>
        <v>120</v>
      </c>
      <c r="L29">
        <v>12</v>
      </c>
      <c r="M29">
        <v>120</v>
      </c>
      <c r="N29" s="4" t="s">
        <v>25</v>
      </c>
      <c r="O29" s="4" t="s">
        <v>35</v>
      </c>
      <c r="P29" s="4" t="s">
        <v>39</v>
      </c>
      <c r="S29">
        <v>15000</v>
      </c>
      <c r="T29">
        <f>(Tableau2[[#This Row],[PROD TOTALE/KG]]+Tableau2[[#This Row],[ PROD SURFACE (en Kg) ?]])/Tableau2[[#This Row],[SUP/HA]]</f>
        <v>160</v>
      </c>
    </row>
    <row r="30" spans="1:20" x14ac:dyDescent="0.35">
      <c r="A30" t="s">
        <v>61</v>
      </c>
      <c r="B30" s="3">
        <v>3</v>
      </c>
      <c r="D30" s="4" t="s">
        <v>32</v>
      </c>
      <c r="E30" s="4" t="s">
        <v>58</v>
      </c>
      <c r="F30">
        <v>0.75</v>
      </c>
      <c r="G30" s="4" t="s">
        <v>24</v>
      </c>
      <c r="H30">
        <v>0</v>
      </c>
      <c r="I30">
        <v>1</v>
      </c>
      <c r="J30">
        <f>Tableau2[[#This Row],[PROD TOTALE/KG]]+Tableau2[[#This Row],[ PROD SURFACE (en Kg) ?]]</f>
        <v>75</v>
      </c>
      <c r="L30">
        <v>7</v>
      </c>
      <c r="M30">
        <v>75</v>
      </c>
      <c r="N30" s="4" t="s">
        <v>25</v>
      </c>
      <c r="O30" s="4" t="s">
        <v>35</v>
      </c>
      <c r="P30" s="4" t="s">
        <v>39</v>
      </c>
      <c r="S30">
        <v>5500</v>
      </c>
      <c r="T30">
        <f>(Tableau2[[#This Row],[PROD TOTALE/KG]]+Tableau2[[#This Row],[ PROD SURFACE (en Kg) ?]])/Tableau2[[#This Row],[SUP/HA]]</f>
        <v>100</v>
      </c>
    </row>
    <row r="31" spans="1:20" x14ac:dyDescent="0.35">
      <c r="A31" t="s">
        <v>62</v>
      </c>
      <c r="B31" s="3">
        <v>4</v>
      </c>
      <c r="D31" s="4" t="s">
        <v>32</v>
      </c>
      <c r="E31" s="4" t="s">
        <v>45</v>
      </c>
      <c r="F31">
        <v>1</v>
      </c>
      <c r="G31" s="4" t="s">
        <v>24</v>
      </c>
      <c r="H31">
        <v>0</v>
      </c>
      <c r="I31">
        <v>1</v>
      </c>
      <c r="J31">
        <f>Tableau2[[#This Row],[PROD TOTALE/KG]]+Tableau2[[#This Row],[ PROD SURFACE (en Kg) ?]]</f>
        <v>150</v>
      </c>
      <c r="L31">
        <v>60</v>
      </c>
      <c r="M31">
        <v>150</v>
      </c>
      <c r="N31" s="4" t="s">
        <v>25</v>
      </c>
      <c r="O31" s="4" t="s">
        <v>35</v>
      </c>
      <c r="P31" s="4" t="s">
        <v>39</v>
      </c>
      <c r="S31">
        <v>10000</v>
      </c>
      <c r="T31">
        <f>(Tableau2[[#This Row],[PROD TOTALE/KG]]+Tableau2[[#This Row],[ PROD SURFACE (en Kg) ?]])/Tableau2[[#This Row],[SUP/HA]]</f>
        <v>150</v>
      </c>
    </row>
    <row r="32" spans="1:20" x14ac:dyDescent="0.35">
      <c r="A32" t="s">
        <v>63</v>
      </c>
      <c r="B32" s="3">
        <v>5</v>
      </c>
      <c r="C32" s="4" t="s">
        <v>21</v>
      </c>
      <c r="D32" s="4" t="s">
        <v>47</v>
      </c>
      <c r="E32" s="4" t="s">
        <v>54</v>
      </c>
      <c r="F32">
        <v>0.13</v>
      </c>
      <c r="G32" s="4" t="s">
        <v>24</v>
      </c>
      <c r="H32">
        <v>0</v>
      </c>
      <c r="I32">
        <v>1</v>
      </c>
      <c r="J32">
        <f>Tableau2[[#This Row],[PROD TOTALE/KG]]+Tableau2[[#This Row],[ PROD SURFACE (en Kg) ?]]</f>
        <v>300</v>
      </c>
      <c r="L32">
        <v>1250</v>
      </c>
      <c r="M32">
        <v>300</v>
      </c>
      <c r="N32" s="4" t="s">
        <v>25</v>
      </c>
      <c r="O32" s="4" t="s">
        <v>49</v>
      </c>
      <c r="P32" s="4" t="s">
        <v>27</v>
      </c>
      <c r="Q32" s="4" t="s">
        <v>28</v>
      </c>
      <c r="R32" s="4" t="s">
        <v>29</v>
      </c>
      <c r="S32">
        <v>230000</v>
      </c>
      <c r="T32">
        <f>(Tableau2[[#This Row],[PROD TOTALE/KG]]+Tableau2[[#This Row],[ PROD SURFACE (en Kg) ?]])/Tableau2[[#This Row],[SUP/HA]]</f>
        <v>2307.6923076923076</v>
      </c>
    </row>
    <row r="33" spans="1:20" x14ac:dyDescent="0.35">
      <c r="A33" t="s">
        <v>63</v>
      </c>
      <c r="B33" s="3">
        <v>1</v>
      </c>
      <c r="D33" s="4" t="s">
        <v>47</v>
      </c>
      <c r="E33" s="4" t="s">
        <v>58</v>
      </c>
      <c r="F33">
        <v>0.13</v>
      </c>
      <c r="G33" s="4" t="s">
        <v>34</v>
      </c>
      <c r="H33">
        <v>1</v>
      </c>
      <c r="I33">
        <v>0</v>
      </c>
      <c r="J33">
        <f>Tableau2[[#This Row],[PROD TOTALE/KG]]+Tableau2[[#This Row],[ PROD SURFACE (en Kg) ?]]</f>
        <v>2220</v>
      </c>
      <c r="K33">
        <v>2220</v>
      </c>
      <c r="N33" s="4" t="s">
        <v>25</v>
      </c>
      <c r="O33" s="4" t="s">
        <v>26</v>
      </c>
      <c r="P33" s="4" t="s">
        <v>27</v>
      </c>
      <c r="Q33" s="4" t="s">
        <v>28</v>
      </c>
      <c r="R33" s="4" t="s">
        <v>29</v>
      </c>
      <c r="S33">
        <v>2000000</v>
      </c>
      <c r="T33">
        <f>(Tableau2[[#This Row],[PROD TOTALE/KG]]+Tableau2[[#This Row],[ PROD SURFACE (en Kg) ?]])/Tableau2[[#This Row],[SUP/HA]]</f>
        <v>17076.923076923078</v>
      </c>
    </row>
    <row r="34" spans="1:20" x14ac:dyDescent="0.35">
      <c r="A34" t="s">
        <v>64</v>
      </c>
      <c r="B34" s="3">
        <v>2</v>
      </c>
      <c r="C34" s="4" t="s">
        <v>21</v>
      </c>
      <c r="D34" s="4" t="s">
        <v>65</v>
      </c>
      <c r="E34" s="4" t="s">
        <v>33</v>
      </c>
      <c r="F34">
        <v>0.25</v>
      </c>
      <c r="G34" s="4" t="s">
        <v>34</v>
      </c>
      <c r="H34">
        <v>1</v>
      </c>
      <c r="I34">
        <v>0</v>
      </c>
      <c r="J34">
        <f>Tableau2[[#This Row],[PROD TOTALE/KG]]+Tableau2[[#This Row],[ PROD SURFACE (en Kg) ?]]</f>
        <v>2200</v>
      </c>
      <c r="K34">
        <v>2200</v>
      </c>
      <c r="N34" s="4" t="s">
        <v>66</v>
      </c>
      <c r="P34" s="4" t="s">
        <v>27</v>
      </c>
      <c r="Q34" s="4" t="s">
        <v>28</v>
      </c>
      <c r="R34" s="4" t="s">
        <v>29</v>
      </c>
      <c r="S34">
        <v>150000</v>
      </c>
      <c r="T34">
        <f>(Tableau2[[#This Row],[PROD TOTALE/KG]]+Tableau2[[#This Row],[ PROD SURFACE (en Kg) ?]])/Tableau2[[#This Row],[SUP/HA]]</f>
        <v>8800</v>
      </c>
    </row>
    <row r="35" spans="1:20" x14ac:dyDescent="0.35">
      <c r="A35" t="s">
        <v>64</v>
      </c>
      <c r="B35" s="3">
        <v>1</v>
      </c>
      <c r="D35" s="4" t="s">
        <v>65</v>
      </c>
      <c r="E35" s="4" t="s">
        <v>23</v>
      </c>
      <c r="F35">
        <v>0.25</v>
      </c>
      <c r="G35" s="4" t="s">
        <v>34</v>
      </c>
      <c r="H35">
        <v>1</v>
      </c>
      <c r="I35">
        <v>0</v>
      </c>
      <c r="J35">
        <f>Tableau2[[#This Row],[PROD TOTALE/KG]]+Tableau2[[#This Row],[ PROD SURFACE (en Kg) ?]]</f>
        <v>2500</v>
      </c>
      <c r="K35">
        <v>2500</v>
      </c>
      <c r="N35" s="4" t="s">
        <v>66</v>
      </c>
      <c r="P35" s="4" t="s">
        <v>27</v>
      </c>
      <c r="Q35" s="4" t="s">
        <v>28</v>
      </c>
      <c r="R35" s="4" t="s">
        <v>51</v>
      </c>
      <c r="S35">
        <v>180000</v>
      </c>
      <c r="T35">
        <f>(Tableau2[[#This Row],[PROD TOTALE/KG]]+Tableau2[[#This Row],[ PROD SURFACE (en Kg) ?]])/Tableau2[[#This Row],[SUP/HA]]</f>
        <v>10000</v>
      </c>
    </row>
    <row r="36" spans="1:20" x14ac:dyDescent="0.35">
      <c r="A36" t="s">
        <v>67</v>
      </c>
      <c r="B36" s="3">
        <v>2</v>
      </c>
      <c r="C36" s="4" t="s">
        <v>21</v>
      </c>
      <c r="D36" s="4" t="s">
        <v>65</v>
      </c>
      <c r="E36" s="4" t="s">
        <v>23</v>
      </c>
      <c r="F36">
        <v>0.33</v>
      </c>
      <c r="G36" s="4" t="s">
        <v>34</v>
      </c>
      <c r="H36">
        <v>1</v>
      </c>
      <c r="I36">
        <v>0</v>
      </c>
      <c r="J36">
        <f>Tableau2[[#This Row],[PROD TOTALE/KG]]+Tableau2[[#This Row],[ PROD SURFACE (en Kg) ?]]</f>
        <v>3000</v>
      </c>
      <c r="K36">
        <v>3000</v>
      </c>
      <c r="N36" s="4" t="s">
        <v>66</v>
      </c>
      <c r="P36" s="4" t="s">
        <v>27</v>
      </c>
      <c r="Q36" s="4" t="s">
        <v>28</v>
      </c>
      <c r="R36" s="4" t="s">
        <v>51</v>
      </c>
      <c r="S36">
        <v>250000</v>
      </c>
      <c r="T36">
        <f>(Tableau2[[#This Row],[PROD TOTALE/KG]]+Tableau2[[#This Row],[ PROD SURFACE (en Kg) ?]])/Tableau2[[#This Row],[SUP/HA]]</f>
        <v>9090.9090909090901</v>
      </c>
    </row>
    <row r="37" spans="1:20" x14ac:dyDescent="0.35">
      <c r="A37" t="s">
        <v>67</v>
      </c>
      <c r="B37" s="3">
        <v>1</v>
      </c>
      <c r="D37" s="4" t="s">
        <v>65</v>
      </c>
      <c r="E37" s="4" t="s">
        <v>48</v>
      </c>
      <c r="F37">
        <v>0.25</v>
      </c>
      <c r="G37" s="4" t="s">
        <v>34</v>
      </c>
      <c r="H37">
        <v>1</v>
      </c>
      <c r="I37">
        <v>0</v>
      </c>
      <c r="J37">
        <f>Tableau2[[#This Row],[PROD TOTALE/KG]]+Tableau2[[#This Row],[ PROD SURFACE (en Kg) ?]]</f>
        <v>2000</v>
      </c>
      <c r="K37">
        <v>2000</v>
      </c>
      <c r="N37" s="4" t="s">
        <v>66</v>
      </c>
      <c r="P37" s="4" t="s">
        <v>27</v>
      </c>
      <c r="Q37" s="4" t="s">
        <v>36</v>
      </c>
      <c r="S37">
        <v>150000</v>
      </c>
      <c r="T37">
        <f>(Tableau2[[#This Row],[PROD TOTALE/KG]]+Tableau2[[#This Row],[ PROD SURFACE (en Kg) ?]])/Tableau2[[#This Row],[SUP/HA]]</f>
        <v>8000</v>
      </c>
    </row>
    <row r="38" spans="1:20" x14ac:dyDescent="0.35">
      <c r="A38" t="s">
        <v>68</v>
      </c>
      <c r="B38" s="3">
        <v>2</v>
      </c>
      <c r="C38" s="4" t="s">
        <v>21</v>
      </c>
      <c r="D38" s="4" t="s">
        <v>65</v>
      </c>
      <c r="E38" s="4" t="s">
        <v>33</v>
      </c>
      <c r="F38">
        <v>0.33</v>
      </c>
      <c r="G38" s="4" t="s">
        <v>34</v>
      </c>
      <c r="H38">
        <v>1</v>
      </c>
      <c r="I38">
        <v>0</v>
      </c>
      <c r="J38">
        <f>Tableau2[[#This Row],[PROD TOTALE/KG]]+Tableau2[[#This Row],[ PROD SURFACE (en Kg) ?]]</f>
        <v>2800</v>
      </c>
      <c r="K38">
        <v>2800</v>
      </c>
      <c r="N38" s="4" t="s">
        <v>66</v>
      </c>
      <c r="P38" s="4" t="s">
        <v>27</v>
      </c>
      <c r="Q38" s="4" t="s">
        <v>28</v>
      </c>
      <c r="R38" s="4" t="s">
        <v>51</v>
      </c>
      <c r="S38">
        <v>260000</v>
      </c>
      <c r="T38">
        <f>(Tableau2[[#This Row],[PROD TOTALE/KG]]+Tableau2[[#This Row],[ PROD SURFACE (en Kg) ?]])/Tableau2[[#This Row],[SUP/HA]]</f>
        <v>8484.8484848484841</v>
      </c>
    </row>
    <row r="39" spans="1:20" x14ac:dyDescent="0.35">
      <c r="A39" t="s">
        <v>68</v>
      </c>
      <c r="B39" s="3">
        <v>1</v>
      </c>
      <c r="D39" s="4" t="s">
        <v>65</v>
      </c>
      <c r="E39" s="4" t="s">
        <v>69</v>
      </c>
      <c r="F39">
        <v>0.25</v>
      </c>
      <c r="G39" s="4" t="s">
        <v>34</v>
      </c>
      <c r="H39">
        <v>1</v>
      </c>
      <c r="I39">
        <v>0</v>
      </c>
      <c r="J39">
        <f>Tableau2[[#This Row],[PROD TOTALE/KG]]+Tableau2[[#This Row],[ PROD SURFACE (en Kg) ?]]</f>
        <v>2000</v>
      </c>
      <c r="K39">
        <v>2000</v>
      </c>
      <c r="N39" s="4" t="s">
        <v>66</v>
      </c>
      <c r="P39" s="4" t="s">
        <v>27</v>
      </c>
      <c r="Q39" s="4" t="s">
        <v>36</v>
      </c>
      <c r="S39">
        <v>150000</v>
      </c>
      <c r="T39">
        <f>(Tableau2[[#This Row],[PROD TOTALE/KG]]+Tableau2[[#This Row],[ PROD SURFACE (en Kg) ?]])/Tableau2[[#This Row],[SUP/HA]]</f>
        <v>8000</v>
      </c>
    </row>
    <row r="40" spans="1:20" x14ac:dyDescent="0.35">
      <c r="A40" t="s">
        <v>70</v>
      </c>
      <c r="B40" s="3">
        <v>2</v>
      </c>
      <c r="C40" s="4" t="s">
        <v>21</v>
      </c>
      <c r="D40" s="4" t="s">
        <v>65</v>
      </c>
      <c r="E40" s="4" t="s">
        <v>42</v>
      </c>
      <c r="F40">
        <v>0.33</v>
      </c>
      <c r="G40" s="4" t="s">
        <v>34</v>
      </c>
      <c r="H40">
        <v>1</v>
      </c>
      <c r="I40">
        <v>0</v>
      </c>
      <c r="J40">
        <f>Tableau2[[#This Row],[PROD TOTALE/KG]]+Tableau2[[#This Row],[ PROD SURFACE (en Kg) ?]]</f>
        <v>3000</v>
      </c>
      <c r="K40">
        <v>3000</v>
      </c>
      <c r="N40" s="4" t="s">
        <v>66</v>
      </c>
      <c r="P40" s="4" t="s">
        <v>27</v>
      </c>
      <c r="Q40" s="4" t="s">
        <v>28</v>
      </c>
      <c r="R40" s="4" t="s">
        <v>51</v>
      </c>
      <c r="S40">
        <v>250000</v>
      </c>
      <c r="T40">
        <f>(Tableau2[[#This Row],[PROD TOTALE/KG]]+Tableau2[[#This Row],[ PROD SURFACE (en Kg) ?]])/Tableau2[[#This Row],[SUP/HA]]</f>
        <v>9090.9090909090901</v>
      </c>
    </row>
    <row r="41" spans="1:20" x14ac:dyDescent="0.35">
      <c r="A41" t="s">
        <v>70</v>
      </c>
      <c r="B41" s="3">
        <v>1</v>
      </c>
      <c r="D41" s="4" t="s">
        <v>65</v>
      </c>
      <c r="E41" s="4" t="s">
        <v>45</v>
      </c>
      <c r="F41">
        <v>0.33</v>
      </c>
      <c r="G41" s="4" t="s">
        <v>34</v>
      </c>
      <c r="H41">
        <v>1</v>
      </c>
      <c r="I41">
        <v>0</v>
      </c>
      <c r="J41">
        <f>Tableau2[[#This Row],[PROD TOTALE/KG]]+Tableau2[[#This Row],[ PROD SURFACE (en Kg) ?]]</f>
        <v>2800</v>
      </c>
      <c r="K41">
        <v>2800</v>
      </c>
      <c r="N41" s="4" t="s">
        <v>66</v>
      </c>
      <c r="P41" s="4" t="s">
        <v>27</v>
      </c>
      <c r="Q41" s="4" t="s">
        <v>36</v>
      </c>
      <c r="S41">
        <v>180000</v>
      </c>
      <c r="T41">
        <f>(Tableau2[[#This Row],[PROD TOTALE/KG]]+Tableau2[[#This Row],[ PROD SURFACE (en Kg) ?]])/Tableau2[[#This Row],[SUP/HA]]</f>
        <v>8484.8484848484841</v>
      </c>
    </row>
    <row r="42" spans="1:20" x14ac:dyDescent="0.35">
      <c r="A42" t="s">
        <v>71</v>
      </c>
      <c r="B42" s="3">
        <v>2</v>
      </c>
      <c r="C42" s="4" t="s">
        <v>21</v>
      </c>
      <c r="D42" s="4" t="s">
        <v>65</v>
      </c>
      <c r="E42" s="4" t="s">
        <v>42</v>
      </c>
      <c r="F42">
        <v>0.33</v>
      </c>
      <c r="G42" s="4" t="s">
        <v>34</v>
      </c>
      <c r="H42">
        <v>1</v>
      </c>
      <c r="I42">
        <v>0</v>
      </c>
      <c r="J42">
        <f>Tableau2[[#This Row],[PROD TOTALE/KG]]+Tableau2[[#This Row],[ PROD SURFACE (en Kg) ?]]</f>
        <v>2500</v>
      </c>
      <c r="K42">
        <v>2500</v>
      </c>
      <c r="N42" s="4" t="s">
        <v>66</v>
      </c>
      <c r="P42" s="4" t="s">
        <v>27</v>
      </c>
      <c r="Q42" s="4" t="s">
        <v>28</v>
      </c>
      <c r="R42" s="4" t="s">
        <v>51</v>
      </c>
      <c r="S42">
        <v>160000</v>
      </c>
      <c r="T42">
        <f>(Tableau2[[#This Row],[PROD TOTALE/KG]]+Tableau2[[#This Row],[ PROD SURFACE (en Kg) ?]])/Tableau2[[#This Row],[SUP/HA]]</f>
        <v>7575.7575757575751</v>
      </c>
    </row>
    <row r="43" spans="1:20" x14ac:dyDescent="0.35">
      <c r="A43" t="s">
        <v>71</v>
      </c>
      <c r="B43" s="3">
        <v>1</v>
      </c>
      <c r="D43" s="4" t="s">
        <v>65</v>
      </c>
      <c r="E43" s="4" t="s">
        <v>54</v>
      </c>
      <c r="F43">
        <v>0.33</v>
      </c>
      <c r="G43" s="4" t="s">
        <v>34</v>
      </c>
      <c r="H43">
        <v>1</v>
      </c>
      <c r="I43">
        <v>0</v>
      </c>
      <c r="J43">
        <f>Tableau2[[#This Row],[PROD TOTALE/KG]]+Tableau2[[#This Row],[ PROD SURFACE (en Kg) ?]]</f>
        <v>2000</v>
      </c>
      <c r="K43">
        <v>2000</v>
      </c>
      <c r="N43" s="4" t="s">
        <v>66</v>
      </c>
      <c r="P43" s="4" t="s">
        <v>27</v>
      </c>
      <c r="Q43" s="4" t="s">
        <v>36</v>
      </c>
      <c r="S43">
        <v>200000</v>
      </c>
      <c r="T43">
        <f>(Tableau2[[#This Row],[PROD TOTALE/KG]]+Tableau2[[#This Row],[ PROD SURFACE (en Kg) ?]])/Tableau2[[#This Row],[SUP/HA]]</f>
        <v>6060.6060606060601</v>
      </c>
    </row>
    <row r="44" spans="1:20" x14ac:dyDescent="0.35">
      <c r="A44" t="s">
        <v>72</v>
      </c>
      <c r="B44" s="3">
        <v>2</v>
      </c>
      <c r="C44" s="4" t="s">
        <v>21</v>
      </c>
      <c r="D44" s="4" t="s">
        <v>65</v>
      </c>
      <c r="E44" s="4" t="s">
        <v>23</v>
      </c>
      <c r="F44">
        <v>0.33</v>
      </c>
      <c r="G44" s="4" t="s">
        <v>34</v>
      </c>
      <c r="H44">
        <v>1</v>
      </c>
      <c r="I44">
        <v>0</v>
      </c>
      <c r="J44">
        <f>Tableau2[[#This Row],[PROD TOTALE/KG]]+Tableau2[[#This Row],[ PROD SURFACE (en Kg) ?]]</f>
        <v>3000</v>
      </c>
      <c r="K44">
        <v>3000</v>
      </c>
      <c r="N44" s="4" t="s">
        <v>66</v>
      </c>
      <c r="P44" s="4" t="s">
        <v>27</v>
      </c>
      <c r="Q44" s="4" t="s">
        <v>28</v>
      </c>
      <c r="R44" s="4" t="s">
        <v>51</v>
      </c>
      <c r="S44">
        <v>280000</v>
      </c>
      <c r="T44">
        <f>(Tableau2[[#This Row],[PROD TOTALE/KG]]+Tableau2[[#This Row],[ PROD SURFACE (en Kg) ?]])/Tableau2[[#This Row],[SUP/HA]]</f>
        <v>9090.9090909090901</v>
      </c>
    </row>
    <row r="45" spans="1:20" x14ac:dyDescent="0.35">
      <c r="A45" t="s">
        <v>72</v>
      </c>
      <c r="B45" s="3">
        <v>1</v>
      </c>
      <c r="D45" s="4" t="s">
        <v>65</v>
      </c>
      <c r="E45" s="4" t="s">
        <v>48</v>
      </c>
      <c r="F45">
        <v>0.33</v>
      </c>
      <c r="G45" s="4" t="s">
        <v>34</v>
      </c>
      <c r="H45">
        <v>1</v>
      </c>
      <c r="I45">
        <v>0</v>
      </c>
      <c r="J45">
        <f>Tableau2[[#This Row],[PROD TOTALE/KG]]+Tableau2[[#This Row],[ PROD SURFACE (en Kg) ?]]</f>
        <v>2800</v>
      </c>
      <c r="K45">
        <v>2800</v>
      </c>
      <c r="N45" s="4" t="s">
        <v>66</v>
      </c>
      <c r="P45" s="4" t="s">
        <v>27</v>
      </c>
      <c r="Q45" s="4" t="s">
        <v>36</v>
      </c>
      <c r="S45">
        <v>180000</v>
      </c>
      <c r="T45">
        <f>(Tableau2[[#This Row],[PROD TOTALE/KG]]+Tableau2[[#This Row],[ PROD SURFACE (en Kg) ?]])/Tableau2[[#This Row],[SUP/HA]]</f>
        <v>8484.8484848484841</v>
      </c>
    </row>
    <row r="46" spans="1:20" x14ac:dyDescent="0.35">
      <c r="A46" t="s">
        <v>73</v>
      </c>
      <c r="B46" s="3">
        <v>2</v>
      </c>
      <c r="C46" s="4" t="s">
        <v>21</v>
      </c>
      <c r="D46" s="4" t="s">
        <v>65</v>
      </c>
      <c r="E46" s="4" t="s">
        <v>58</v>
      </c>
      <c r="F46">
        <v>0.5</v>
      </c>
      <c r="G46" s="4" t="s">
        <v>34</v>
      </c>
      <c r="H46">
        <v>1</v>
      </c>
      <c r="I46">
        <v>0</v>
      </c>
      <c r="J46">
        <f>Tableau2[[#This Row],[PROD TOTALE/KG]]+Tableau2[[#This Row],[ PROD SURFACE (en Kg) ?]]</f>
        <v>4000</v>
      </c>
      <c r="K46">
        <v>4000</v>
      </c>
      <c r="N46" s="4" t="s">
        <v>66</v>
      </c>
      <c r="P46" s="4" t="s">
        <v>27</v>
      </c>
      <c r="Q46" s="4" t="s">
        <v>36</v>
      </c>
      <c r="S46">
        <v>300000</v>
      </c>
      <c r="T46">
        <f>(Tableau2[[#This Row],[PROD TOTALE/KG]]+Tableau2[[#This Row],[ PROD SURFACE (en Kg) ?]])/Tableau2[[#This Row],[SUP/HA]]</f>
        <v>8000</v>
      </c>
    </row>
    <row r="47" spans="1:20" x14ac:dyDescent="0.35">
      <c r="A47" t="s">
        <v>73</v>
      </c>
      <c r="B47" s="3">
        <v>1</v>
      </c>
      <c r="D47" s="4" t="s">
        <v>65</v>
      </c>
      <c r="E47" s="4" t="s">
        <v>45</v>
      </c>
      <c r="F47">
        <v>0.33</v>
      </c>
      <c r="G47" s="4" t="s">
        <v>34</v>
      </c>
      <c r="H47">
        <v>1</v>
      </c>
      <c r="I47">
        <v>0</v>
      </c>
      <c r="J47">
        <f>Tableau2[[#This Row],[PROD TOTALE/KG]]+Tableau2[[#This Row],[ PROD SURFACE (en Kg) ?]]</f>
        <v>2500</v>
      </c>
      <c r="K47">
        <v>2500</v>
      </c>
      <c r="N47" s="4" t="s">
        <v>66</v>
      </c>
      <c r="P47" s="4" t="s">
        <v>27</v>
      </c>
      <c r="Q47" s="4" t="s">
        <v>28</v>
      </c>
      <c r="R47" s="4" t="s">
        <v>51</v>
      </c>
      <c r="S47">
        <v>150000</v>
      </c>
      <c r="T47">
        <f>(Tableau2[[#This Row],[PROD TOTALE/KG]]+Tableau2[[#This Row],[ PROD SURFACE (en Kg) ?]])/Tableau2[[#This Row],[SUP/HA]]</f>
        <v>7575.7575757575751</v>
      </c>
    </row>
    <row r="48" spans="1:20" x14ac:dyDescent="0.35">
      <c r="A48" t="s">
        <v>74</v>
      </c>
      <c r="B48" s="3">
        <v>2</v>
      </c>
      <c r="C48" s="4" t="s">
        <v>21</v>
      </c>
      <c r="D48" s="4" t="s">
        <v>65</v>
      </c>
      <c r="E48" s="4" t="s">
        <v>33</v>
      </c>
      <c r="F48">
        <v>0.33</v>
      </c>
      <c r="G48" s="4" t="s">
        <v>34</v>
      </c>
      <c r="H48">
        <v>1</v>
      </c>
      <c r="I48">
        <v>0</v>
      </c>
      <c r="J48">
        <f>Tableau2[[#This Row],[PROD TOTALE/KG]]+Tableau2[[#This Row],[ PROD SURFACE (en Kg) ?]]</f>
        <v>3000</v>
      </c>
      <c r="K48">
        <v>3000</v>
      </c>
      <c r="N48" s="4" t="s">
        <v>66</v>
      </c>
      <c r="P48" s="4" t="s">
        <v>27</v>
      </c>
      <c r="Q48" s="4" t="s">
        <v>28</v>
      </c>
      <c r="R48" s="4" t="s">
        <v>51</v>
      </c>
      <c r="S48">
        <v>280000</v>
      </c>
      <c r="T48">
        <f>(Tableau2[[#This Row],[PROD TOTALE/KG]]+Tableau2[[#This Row],[ PROD SURFACE (en Kg) ?]])/Tableau2[[#This Row],[SUP/HA]]</f>
        <v>9090.9090909090901</v>
      </c>
    </row>
    <row r="49" spans="1:20" x14ac:dyDescent="0.35">
      <c r="A49" t="s">
        <v>74</v>
      </c>
      <c r="B49" s="3">
        <v>1</v>
      </c>
      <c r="D49" s="4" t="s">
        <v>65</v>
      </c>
      <c r="E49" s="4" t="s">
        <v>23</v>
      </c>
      <c r="F49">
        <v>0.33</v>
      </c>
      <c r="G49" s="4" t="s">
        <v>34</v>
      </c>
      <c r="H49">
        <v>1</v>
      </c>
      <c r="I49">
        <v>0</v>
      </c>
      <c r="J49">
        <f>Tableau2[[#This Row],[PROD TOTALE/KG]]+Tableau2[[#This Row],[ PROD SURFACE (en Kg) ?]]</f>
        <v>2800</v>
      </c>
      <c r="K49">
        <v>2800</v>
      </c>
      <c r="N49" s="4" t="s">
        <v>66</v>
      </c>
      <c r="P49" s="4" t="s">
        <v>27</v>
      </c>
      <c r="Q49" s="4" t="s">
        <v>28</v>
      </c>
      <c r="R49" s="4" t="s">
        <v>51</v>
      </c>
      <c r="S49">
        <v>180000</v>
      </c>
      <c r="T49">
        <f>(Tableau2[[#This Row],[PROD TOTALE/KG]]+Tableau2[[#This Row],[ PROD SURFACE (en Kg) ?]])/Tableau2[[#This Row],[SUP/HA]]</f>
        <v>8484.8484848484841</v>
      </c>
    </row>
    <row r="50" spans="1:20" x14ac:dyDescent="0.35">
      <c r="A50" t="s">
        <v>74</v>
      </c>
      <c r="B50" s="3">
        <v>2</v>
      </c>
      <c r="D50" s="4" t="s">
        <v>65</v>
      </c>
      <c r="E50" s="4" t="s">
        <v>48</v>
      </c>
      <c r="F50">
        <v>0.33</v>
      </c>
      <c r="G50" s="4" t="s">
        <v>34</v>
      </c>
      <c r="H50">
        <v>1</v>
      </c>
      <c r="I50">
        <v>0</v>
      </c>
      <c r="J50">
        <f>Tableau2[[#This Row],[PROD TOTALE/KG]]+Tableau2[[#This Row],[ PROD SURFACE (en Kg) ?]]</f>
        <v>2500</v>
      </c>
      <c r="K50">
        <v>2500</v>
      </c>
      <c r="N50" s="4" t="s">
        <v>66</v>
      </c>
      <c r="P50" s="4" t="s">
        <v>27</v>
      </c>
      <c r="Q50" s="4" t="s">
        <v>36</v>
      </c>
      <c r="S50">
        <v>200000</v>
      </c>
      <c r="T50">
        <f>(Tableau2[[#This Row],[PROD TOTALE/KG]]+Tableau2[[#This Row],[ PROD SURFACE (en Kg) ?]])/Tableau2[[#This Row],[SUP/HA]]</f>
        <v>7575.7575757575751</v>
      </c>
    </row>
    <row r="51" spans="1:20" x14ac:dyDescent="0.35">
      <c r="A51" t="s">
        <v>75</v>
      </c>
      <c r="B51" s="3">
        <v>1</v>
      </c>
      <c r="C51" s="4" t="s">
        <v>21</v>
      </c>
      <c r="D51" s="4" t="s">
        <v>65</v>
      </c>
      <c r="E51" s="4" t="s">
        <v>45</v>
      </c>
      <c r="F51">
        <v>0.25</v>
      </c>
      <c r="G51" s="4" t="s">
        <v>34</v>
      </c>
      <c r="H51">
        <v>1</v>
      </c>
      <c r="I51">
        <v>0</v>
      </c>
      <c r="J51">
        <f>Tableau2[[#This Row],[PROD TOTALE/KG]]+Tableau2[[#This Row],[ PROD SURFACE (en Kg) ?]]</f>
        <v>3000</v>
      </c>
      <c r="K51">
        <v>3000</v>
      </c>
      <c r="N51" s="4" t="s">
        <v>66</v>
      </c>
      <c r="P51" s="4" t="s">
        <v>27</v>
      </c>
      <c r="Q51" s="4" t="s">
        <v>28</v>
      </c>
      <c r="R51" s="4" t="s">
        <v>29</v>
      </c>
      <c r="S51">
        <v>150000</v>
      </c>
      <c r="T51">
        <f>(Tableau2[[#This Row],[PROD TOTALE/KG]]+Tableau2[[#This Row],[ PROD SURFACE (en Kg) ?]])/Tableau2[[#This Row],[SUP/HA]]</f>
        <v>12000</v>
      </c>
    </row>
    <row r="52" spans="1:20" x14ac:dyDescent="0.35">
      <c r="A52" t="s">
        <v>75</v>
      </c>
      <c r="B52" s="3">
        <v>2</v>
      </c>
      <c r="D52" s="4" t="s">
        <v>65</v>
      </c>
      <c r="E52" s="4" t="s">
        <v>42</v>
      </c>
      <c r="F52">
        <v>0.33</v>
      </c>
      <c r="G52" s="4" t="s">
        <v>34</v>
      </c>
      <c r="H52">
        <v>1</v>
      </c>
      <c r="I52">
        <v>0</v>
      </c>
      <c r="J52">
        <f>Tableau2[[#This Row],[PROD TOTALE/KG]]+Tableau2[[#This Row],[ PROD SURFACE (en Kg) ?]]</f>
        <v>2500</v>
      </c>
      <c r="K52">
        <v>2500</v>
      </c>
      <c r="N52" s="4" t="s">
        <v>66</v>
      </c>
      <c r="P52" s="4" t="s">
        <v>27</v>
      </c>
      <c r="Q52" s="4" t="s">
        <v>28</v>
      </c>
      <c r="R52" s="4" t="s">
        <v>51</v>
      </c>
      <c r="S52">
        <v>130000</v>
      </c>
      <c r="T52">
        <f>(Tableau2[[#This Row],[PROD TOTALE/KG]]+Tableau2[[#This Row],[ PROD SURFACE (en Kg) ?]])/Tableau2[[#This Row],[SUP/HA]]</f>
        <v>7575.7575757575751</v>
      </c>
    </row>
    <row r="53" spans="1:20" x14ac:dyDescent="0.35">
      <c r="A53" t="s">
        <v>76</v>
      </c>
      <c r="B53" s="3">
        <v>3</v>
      </c>
      <c r="C53" s="4" t="s">
        <v>21</v>
      </c>
      <c r="D53" s="4" t="s">
        <v>65</v>
      </c>
      <c r="E53" s="4" t="s">
        <v>23</v>
      </c>
      <c r="F53">
        <v>0.25</v>
      </c>
      <c r="G53" s="4" t="s">
        <v>34</v>
      </c>
      <c r="H53">
        <v>1</v>
      </c>
      <c r="I53">
        <v>0</v>
      </c>
      <c r="J53">
        <f>Tableau2[[#This Row],[PROD TOTALE/KG]]+Tableau2[[#This Row],[ PROD SURFACE (en Kg) ?]]</f>
        <v>4000</v>
      </c>
      <c r="K53">
        <v>4000</v>
      </c>
      <c r="N53" s="4" t="s">
        <v>66</v>
      </c>
      <c r="P53" s="4" t="s">
        <v>27</v>
      </c>
      <c r="Q53" s="4" t="s">
        <v>28</v>
      </c>
      <c r="R53" s="4" t="s">
        <v>51</v>
      </c>
      <c r="S53">
        <v>350000</v>
      </c>
      <c r="T53">
        <f>(Tableau2[[#This Row],[PROD TOTALE/KG]]+Tableau2[[#This Row],[ PROD SURFACE (en Kg) ?]])/Tableau2[[#This Row],[SUP/HA]]</f>
        <v>16000</v>
      </c>
    </row>
    <row r="54" spans="1:20" x14ac:dyDescent="0.35">
      <c r="A54" t="s">
        <v>76</v>
      </c>
      <c r="B54" s="3">
        <v>1</v>
      </c>
      <c r="D54" s="4" t="s">
        <v>65</v>
      </c>
      <c r="E54" s="4" t="s">
        <v>77</v>
      </c>
      <c r="F54">
        <v>0.33</v>
      </c>
      <c r="G54" s="4" t="s">
        <v>34</v>
      </c>
      <c r="H54">
        <v>1</v>
      </c>
      <c r="I54">
        <v>0</v>
      </c>
      <c r="J54">
        <f>Tableau2[[#This Row],[PROD TOTALE/KG]]+Tableau2[[#This Row],[ PROD SURFACE (en Kg) ?]]</f>
        <v>3000</v>
      </c>
      <c r="K54">
        <v>3000</v>
      </c>
      <c r="N54" s="4" t="s">
        <v>66</v>
      </c>
      <c r="P54" s="4" t="s">
        <v>27</v>
      </c>
      <c r="Q54" s="4" t="s">
        <v>28</v>
      </c>
      <c r="R54" s="4" t="s">
        <v>51</v>
      </c>
      <c r="S54">
        <v>28000</v>
      </c>
      <c r="T54">
        <f>(Tableau2[[#This Row],[PROD TOTALE/KG]]+Tableau2[[#This Row],[ PROD SURFACE (en Kg) ?]])/Tableau2[[#This Row],[SUP/HA]]</f>
        <v>9090.9090909090901</v>
      </c>
    </row>
    <row r="55" spans="1:20" x14ac:dyDescent="0.35">
      <c r="A55" t="s">
        <v>78</v>
      </c>
      <c r="B55" s="3">
        <v>2</v>
      </c>
      <c r="C55" s="4" t="s">
        <v>21</v>
      </c>
      <c r="D55" s="4" t="s">
        <v>65</v>
      </c>
      <c r="E55" s="4" t="s">
        <v>42</v>
      </c>
      <c r="F55">
        <v>0.33</v>
      </c>
      <c r="G55" s="4" t="s">
        <v>34</v>
      </c>
      <c r="H55">
        <v>1</v>
      </c>
      <c r="I55">
        <v>0</v>
      </c>
      <c r="J55">
        <f>Tableau2[[#This Row],[PROD TOTALE/KG]]+Tableau2[[#This Row],[ PROD SURFACE (en Kg) ?]]</f>
        <v>2000</v>
      </c>
      <c r="K55">
        <v>2000</v>
      </c>
      <c r="N55" s="4" t="s">
        <v>66</v>
      </c>
      <c r="P55" s="4" t="s">
        <v>27</v>
      </c>
      <c r="Q55" s="4" t="s">
        <v>28</v>
      </c>
      <c r="R55" s="4" t="s">
        <v>51</v>
      </c>
      <c r="S55">
        <v>100000</v>
      </c>
      <c r="T55">
        <f>(Tableau2[[#This Row],[PROD TOTALE/KG]]+Tableau2[[#This Row],[ PROD SURFACE (en Kg) ?]])/Tableau2[[#This Row],[SUP/HA]]</f>
        <v>6060.6060606060601</v>
      </c>
    </row>
    <row r="56" spans="1:20" x14ac:dyDescent="0.35">
      <c r="A56" t="s">
        <v>79</v>
      </c>
      <c r="B56" s="3">
        <v>1</v>
      </c>
      <c r="C56" s="4" t="s">
        <v>21</v>
      </c>
      <c r="D56" s="4" t="s">
        <v>65</v>
      </c>
      <c r="E56" s="4" t="s">
        <v>69</v>
      </c>
      <c r="F56">
        <v>0.33</v>
      </c>
      <c r="G56" s="4" t="s">
        <v>34</v>
      </c>
      <c r="H56">
        <v>1</v>
      </c>
      <c r="I56">
        <v>0</v>
      </c>
      <c r="J56">
        <f>Tableau2[[#This Row],[PROD TOTALE/KG]]+Tableau2[[#This Row],[ PROD SURFACE (en Kg) ?]]</f>
        <v>3000</v>
      </c>
      <c r="K56">
        <v>3000</v>
      </c>
      <c r="N56" s="4" t="s">
        <v>66</v>
      </c>
      <c r="P56" s="4" t="s">
        <v>27</v>
      </c>
      <c r="Q56" s="4" t="s">
        <v>36</v>
      </c>
      <c r="S56">
        <v>300000</v>
      </c>
      <c r="T56">
        <f>(Tableau2[[#This Row],[PROD TOTALE/KG]]+Tableau2[[#This Row],[ PROD SURFACE (en Kg) ?]])/Tableau2[[#This Row],[SUP/HA]]</f>
        <v>9090.9090909090901</v>
      </c>
    </row>
    <row r="57" spans="1:20" x14ac:dyDescent="0.35">
      <c r="A57" t="s">
        <v>79</v>
      </c>
      <c r="B57" s="3">
        <v>2</v>
      </c>
      <c r="D57" s="4" t="s">
        <v>65</v>
      </c>
      <c r="E57" s="4" t="s">
        <v>23</v>
      </c>
      <c r="F57">
        <v>0.33</v>
      </c>
      <c r="G57" s="4" t="s">
        <v>34</v>
      </c>
      <c r="H57">
        <v>1</v>
      </c>
      <c r="I57">
        <v>0</v>
      </c>
      <c r="J57">
        <f>Tableau2[[#This Row],[PROD TOTALE/KG]]+Tableau2[[#This Row],[ PROD SURFACE (en Kg) ?]]</f>
        <v>2500</v>
      </c>
      <c r="K57">
        <v>2500</v>
      </c>
      <c r="N57" s="4" t="s">
        <v>25</v>
      </c>
      <c r="O57" s="4" t="s">
        <v>26</v>
      </c>
      <c r="P57" s="4" t="s">
        <v>27</v>
      </c>
      <c r="Q57" s="4" t="s">
        <v>28</v>
      </c>
      <c r="R57" s="4" t="s">
        <v>51</v>
      </c>
      <c r="S57">
        <v>280000</v>
      </c>
      <c r="T57">
        <f>(Tableau2[[#This Row],[PROD TOTALE/KG]]+Tableau2[[#This Row],[ PROD SURFACE (en Kg) ?]])/Tableau2[[#This Row],[SUP/HA]]</f>
        <v>7575.7575757575751</v>
      </c>
    </row>
    <row r="58" spans="1:20" x14ac:dyDescent="0.35">
      <c r="A58" t="s">
        <v>80</v>
      </c>
      <c r="B58" s="3">
        <v>1</v>
      </c>
      <c r="C58" s="4" t="s">
        <v>21</v>
      </c>
      <c r="D58" s="4" t="s">
        <v>65</v>
      </c>
      <c r="E58" s="4" t="s">
        <v>33</v>
      </c>
      <c r="F58">
        <v>0.25</v>
      </c>
      <c r="G58" s="4" t="s">
        <v>34</v>
      </c>
      <c r="H58">
        <v>1</v>
      </c>
      <c r="I58">
        <v>0</v>
      </c>
      <c r="J58">
        <f>Tableau2[[#This Row],[PROD TOTALE/KG]]+Tableau2[[#This Row],[ PROD SURFACE (en Kg) ?]]</f>
        <v>4000</v>
      </c>
      <c r="K58">
        <v>4000</v>
      </c>
      <c r="N58" s="4" t="s">
        <v>25</v>
      </c>
      <c r="O58" s="4" t="s">
        <v>35</v>
      </c>
      <c r="P58" s="4" t="s">
        <v>27</v>
      </c>
      <c r="Q58" s="4" t="s">
        <v>36</v>
      </c>
      <c r="S58">
        <v>280000</v>
      </c>
      <c r="T58">
        <f>(Tableau2[[#This Row],[PROD TOTALE/KG]]+Tableau2[[#This Row],[ PROD SURFACE (en Kg) ?]])/Tableau2[[#This Row],[SUP/HA]]</f>
        <v>16000</v>
      </c>
    </row>
    <row r="59" spans="1:20" x14ac:dyDescent="0.35">
      <c r="A59" t="s">
        <v>80</v>
      </c>
      <c r="B59" s="3">
        <v>1</v>
      </c>
      <c r="D59" s="4" t="s">
        <v>65</v>
      </c>
      <c r="E59" s="4" t="s">
        <v>23</v>
      </c>
      <c r="F59">
        <v>0.33</v>
      </c>
      <c r="G59" s="4" t="s">
        <v>34</v>
      </c>
      <c r="H59">
        <v>1</v>
      </c>
      <c r="I59">
        <v>0</v>
      </c>
      <c r="J59">
        <f>Tableau2[[#This Row],[PROD TOTALE/KG]]+Tableau2[[#This Row],[ PROD SURFACE (en Kg) ?]]</f>
        <v>2500</v>
      </c>
      <c r="K59">
        <v>2500</v>
      </c>
      <c r="N59" s="4" t="s">
        <v>25</v>
      </c>
      <c r="O59" s="4" t="s">
        <v>26</v>
      </c>
      <c r="P59" s="4" t="s">
        <v>27</v>
      </c>
      <c r="Q59" s="4" t="s">
        <v>28</v>
      </c>
      <c r="R59" s="4" t="s">
        <v>51</v>
      </c>
      <c r="S59">
        <v>300000</v>
      </c>
      <c r="T59">
        <f>(Tableau2[[#This Row],[PROD TOTALE/KG]]+Tableau2[[#This Row],[ PROD SURFACE (en Kg) ?]])/Tableau2[[#This Row],[SUP/HA]]</f>
        <v>7575.7575757575751</v>
      </c>
    </row>
    <row r="60" spans="1:20" x14ac:dyDescent="0.35">
      <c r="A60" t="s">
        <v>81</v>
      </c>
      <c r="B60" s="3">
        <v>2</v>
      </c>
      <c r="C60" s="4" t="s">
        <v>21</v>
      </c>
      <c r="D60" s="4" t="s">
        <v>65</v>
      </c>
      <c r="E60" s="4" t="s">
        <v>58</v>
      </c>
      <c r="F60">
        <v>0.33</v>
      </c>
      <c r="G60" s="4" t="s">
        <v>34</v>
      </c>
      <c r="H60">
        <v>1</v>
      </c>
      <c r="I60">
        <v>0</v>
      </c>
      <c r="J60">
        <f>Tableau2[[#This Row],[PROD TOTALE/KG]]+Tableau2[[#This Row],[ PROD SURFACE (en Kg) ?]]</f>
        <v>2800</v>
      </c>
      <c r="K60">
        <v>2800</v>
      </c>
      <c r="N60" s="4" t="s">
        <v>25</v>
      </c>
      <c r="O60" s="4" t="s">
        <v>26</v>
      </c>
      <c r="P60" s="4" t="s">
        <v>27</v>
      </c>
      <c r="Q60" s="4" t="s">
        <v>36</v>
      </c>
      <c r="S60">
        <v>200000</v>
      </c>
      <c r="T60">
        <f>(Tableau2[[#This Row],[PROD TOTALE/KG]]+Tableau2[[#This Row],[ PROD SURFACE (en Kg) ?]])/Tableau2[[#This Row],[SUP/HA]]</f>
        <v>8484.8484848484841</v>
      </c>
    </row>
    <row r="61" spans="1:20" x14ac:dyDescent="0.35">
      <c r="A61" t="s">
        <v>81</v>
      </c>
      <c r="B61" s="3">
        <v>1</v>
      </c>
      <c r="D61" s="4" t="s">
        <v>65</v>
      </c>
      <c r="E61" s="4" t="s">
        <v>45</v>
      </c>
      <c r="F61">
        <v>0.33</v>
      </c>
      <c r="G61" s="4" t="s">
        <v>34</v>
      </c>
      <c r="H61">
        <v>1</v>
      </c>
      <c r="I61">
        <v>0</v>
      </c>
      <c r="J61">
        <f>Tableau2[[#This Row],[PROD TOTALE/KG]]+Tableau2[[#This Row],[ PROD SURFACE (en Kg) ?]]</f>
        <v>2500</v>
      </c>
      <c r="K61">
        <v>2500</v>
      </c>
      <c r="N61" s="4" t="s">
        <v>25</v>
      </c>
      <c r="O61" s="4" t="s">
        <v>26</v>
      </c>
      <c r="P61" s="4" t="s">
        <v>27</v>
      </c>
      <c r="Q61" s="4" t="s">
        <v>28</v>
      </c>
      <c r="R61" s="4" t="s">
        <v>29</v>
      </c>
      <c r="S61">
        <v>150000</v>
      </c>
      <c r="T61">
        <f>(Tableau2[[#This Row],[PROD TOTALE/KG]]+Tableau2[[#This Row],[ PROD SURFACE (en Kg) ?]])/Tableau2[[#This Row],[SUP/HA]]</f>
        <v>7575.7575757575751</v>
      </c>
    </row>
    <row r="62" spans="1:20" x14ac:dyDescent="0.35">
      <c r="A62" t="s">
        <v>82</v>
      </c>
      <c r="B62" s="3">
        <v>2</v>
      </c>
      <c r="C62" s="4" t="s">
        <v>21</v>
      </c>
      <c r="D62" s="4" t="s">
        <v>65</v>
      </c>
      <c r="E62" s="4" t="s">
        <v>33</v>
      </c>
      <c r="F62">
        <v>0.33</v>
      </c>
      <c r="G62" s="4" t="s">
        <v>34</v>
      </c>
      <c r="H62">
        <v>1</v>
      </c>
      <c r="I62">
        <v>0</v>
      </c>
      <c r="J62">
        <f>Tableau2[[#This Row],[PROD TOTALE/KG]]+Tableau2[[#This Row],[ PROD SURFACE (en Kg) ?]]</f>
        <v>2500</v>
      </c>
      <c r="K62">
        <v>2500</v>
      </c>
      <c r="N62" s="4" t="s">
        <v>25</v>
      </c>
      <c r="O62" s="4" t="s">
        <v>26</v>
      </c>
      <c r="P62" s="4" t="s">
        <v>27</v>
      </c>
      <c r="Q62" s="4" t="s">
        <v>36</v>
      </c>
      <c r="S62">
        <v>130000</v>
      </c>
      <c r="T62">
        <f>(Tableau2[[#This Row],[PROD TOTALE/KG]]+Tableau2[[#This Row],[ PROD SURFACE (en Kg) ?]])/Tableau2[[#This Row],[SUP/HA]]</f>
        <v>7575.7575757575751</v>
      </c>
    </row>
    <row r="63" spans="1:20" x14ac:dyDescent="0.35">
      <c r="A63" t="s">
        <v>82</v>
      </c>
      <c r="B63" s="3">
        <v>1</v>
      </c>
      <c r="D63" s="4" t="s">
        <v>65</v>
      </c>
      <c r="E63" s="4" t="s">
        <v>48</v>
      </c>
      <c r="F63">
        <v>0.33</v>
      </c>
      <c r="G63" s="4" t="s">
        <v>34</v>
      </c>
      <c r="H63">
        <v>1</v>
      </c>
      <c r="I63">
        <v>0</v>
      </c>
      <c r="J63">
        <f>Tableau2[[#This Row],[PROD TOTALE/KG]]+Tableau2[[#This Row],[ PROD SURFACE (en Kg) ?]]</f>
        <v>3000</v>
      </c>
      <c r="K63">
        <v>3000</v>
      </c>
      <c r="N63" s="4" t="s">
        <v>25</v>
      </c>
      <c r="O63" s="4" t="s">
        <v>26</v>
      </c>
      <c r="P63" s="4" t="s">
        <v>27</v>
      </c>
      <c r="Q63" s="4" t="s">
        <v>28</v>
      </c>
      <c r="R63" s="4" t="s">
        <v>51</v>
      </c>
      <c r="S63">
        <v>180000</v>
      </c>
      <c r="T63">
        <f>(Tableau2[[#This Row],[PROD TOTALE/KG]]+Tableau2[[#This Row],[ PROD SURFACE (en Kg) ?]])/Tableau2[[#This Row],[SUP/HA]]</f>
        <v>9090.9090909090901</v>
      </c>
    </row>
    <row r="64" spans="1:20" x14ac:dyDescent="0.35">
      <c r="A64" t="s">
        <v>83</v>
      </c>
      <c r="B64" s="3">
        <v>2</v>
      </c>
      <c r="C64" s="4" t="s">
        <v>21</v>
      </c>
      <c r="D64" s="4" t="s">
        <v>65</v>
      </c>
      <c r="E64" s="4" t="s">
        <v>58</v>
      </c>
      <c r="F64">
        <v>0.25</v>
      </c>
      <c r="G64" s="4" t="s">
        <v>34</v>
      </c>
      <c r="H64">
        <v>1</v>
      </c>
      <c r="I64">
        <v>0</v>
      </c>
      <c r="J64">
        <f>Tableau2[[#This Row],[PROD TOTALE/KG]]+Tableau2[[#This Row],[ PROD SURFACE (en Kg) ?]]</f>
        <v>3000</v>
      </c>
      <c r="K64">
        <v>3000</v>
      </c>
      <c r="N64" s="4" t="s">
        <v>25</v>
      </c>
      <c r="O64" s="4" t="s">
        <v>26</v>
      </c>
      <c r="P64" s="4" t="s">
        <v>27</v>
      </c>
      <c r="Q64" s="4" t="s">
        <v>36</v>
      </c>
      <c r="S64">
        <v>320000</v>
      </c>
      <c r="T64">
        <f>(Tableau2[[#This Row],[PROD TOTALE/KG]]+Tableau2[[#This Row],[ PROD SURFACE (en Kg) ?]])/Tableau2[[#This Row],[SUP/HA]]</f>
        <v>12000</v>
      </c>
    </row>
    <row r="65" spans="1:20" x14ac:dyDescent="0.35">
      <c r="A65" t="s">
        <v>84</v>
      </c>
      <c r="B65" s="3">
        <v>1</v>
      </c>
      <c r="C65" s="4" t="s">
        <v>21</v>
      </c>
      <c r="D65" s="4" t="s">
        <v>65</v>
      </c>
      <c r="E65" s="4" t="s">
        <v>58</v>
      </c>
      <c r="F65">
        <v>0.25</v>
      </c>
      <c r="G65" s="4" t="s">
        <v>34</v>
      </c>
      <c r="H65">
        <v>1</v>
      </c>
      <c r="I65">
        <v>0</v>
      </c>
      <c r="J65">
        <f>Tableau2[[#This Row],[PROD TOTALE/KG]]+Tableau2[[#This Row],[ PROD SURFACE (en Kg) ?]]</f>
        <v>4000</v>
      </c>
      <c r="K65">
        <v>4000</v>
      </c>
      <c r="N65" s="4" t="s">
        <v>66</v>
      </c>
      <c r="P65" s="4" t="s">
        <v>27</v>
      </c>
      <c r="Q65" s="4" t="s">
        <v>36</v>
      </c>
      <c r="S65">
        <v>320000</v>
      </c>
      <c r="T65">
        <f>(Tableau2[[#This Row],[PROD TOTALE/KG]]+Tableau2[[#This Row],[ PROD SURFACE (en Kg) ?]])/Tableau2[[#This Row],[SUP/HA]]</f>
        <v>16000</v>
      </c>
    </row>
    <row r="66" spans="1:20" x14ac:dyDescent="0.35">
      <c r="A66" t="s">
        <v>84</v>
      </c>
      <c r="B66" s="3">
        <v>2</v>
      </c>
      <c r="D66" s="4" t="s">
        <v>65</v>
      </c>
      <c r="E66" s="4" t="s">
        <v>54</v>
      </c>
      <c r="F66">
        <v>0.33</v>
      </c>
      <c r="G66" s="4" t="s">
        <v>34</v>
      </c>
      <c r="H66">
        <v>1</v>
      </c>
      <c r="I66">
        <v>0</v>
      </c>
      <c r="J66">
        <f>Tableau2[[#This Row],[PROD TOTALE/KG]]+Tableau2[[#This Row],[ PROD SURFACE (en Kg) ?]]</f>
        <v>3000</v>
      </c>
      <c r="K66">
        <v>3000</v>
      </c>
      <c r="N66" s="4" t="s">
        <v>66</v>
      </c>
      <c r="P66" s="4" t="s">
        <v>27</v>
      </c>
      <c r="Q66" s="4" t="s">
        <v>28</v>
      </c>
      <c r="R66" s="4" t="s">
        <v>29</v>
      </c>
      <c r="S66">
        <v>300000</v>
      </c>
      <c r="T66">
        <f>(Tableau2[[#This Row],[PROD TOTALE/KG]]+Tableau2[[#This Row],[ PROD SURFACE (en Kg) ?]])/Tableau2[[#This Row],[SUP/HA]]</f>
        <v>9090.9090909090901</v>
      </c>
    </row>
    <row r="67" spans="1:20" x14ac:dyDescent="0.35">
      <c r="A67" t="s">
        <v>85</v>
      </c>
      <c r="B67" s="3">
        <v>1</v>
      </c>
      <c r="C67" s="4" t="s">
        <v>21</v>
      </c>
      <c r="D67" s="4" t="s">
        <v>65</v>
      </c>
      <c r="E67" s="4" t="s">
        <v>54</v>
      </c>
      <c r="F67">
        <v>0.33</v>
      </c>
      <c r="G67" s="4" t="s">
        <v>34</v>
      </c>
      <c r="H67">
        <v>1</v>
      </c>
      <c r="I67">
        <v>0</v>
      </c>
      <c r="J67">
        <f>Tableau2[[#This Row],[PROD TOTALE/KG]]+Tableau2[[#This Row],[ PROD SURFACE (en Kg) ?]]</f>
        <v>3000</v>
      </c>
      <c r="K67">
        <v>3000</v>
      </c>
      <c r="N67" s="4" t="s">
        <v>25</v>
      </c>
      <c r="O67" s="4" t="s">
        <v>26</v>
      </c>
      <c r="P67" s="4" t="s">
        <v>27</v>
      </c>
      <c r="Q67" s="4" t="s">
        <v>36</v>
      </c>
      <c r="S67">
        <v>280000</v>
      </c>
      <c r="T67">
        <f>(Tableau2[[#This Row],[PROD TOTALE/KG]]+Tableau2[[#This Row],[ PROD SURFACE (en Kg) ?]])/Tableau2[[#This Row],[SUP/HA]]</f>
        <v>9090.9090909090901</v>
      </c>
    </row>
    <row r="68" spans="1:20" x14ac:dyDescent="0.35">
      <c r="A68" t="s">
        <v>85</v>
      </c>
      <c r="B68" s="3">
        <v>1</v>
      </c>
      <c r="D68" s="4" t="s">
        <v>65</v>
      </c>
      <c r="E68" s="4" t="s">
        <v>23</v>
      </c>
      <c r="F68">
        <v>0.33</v>
      </c>
      <c r="G68" s="4" t="s">
        <v>34</v>
      </c>
      <c r="H68">
        <v>1</v>
      </c>
      <c r="I68">
        <v>0</v>
      </c>
      <c r="J68">
        <f>Tableau2[[#This Row],[PROD TOTALE/KG]]+Tableau2[[#This Row],[ PROD SURFACE (en Kg) ?]]</f>
        <v>3000</v>
      </c>
      <c r="K68">
        <v>3000</v>
      </c>
      <c r="N68" s="4" t="s">
        <v>25</v>
      </c>
      <c r="O68" s="4" t="s">
        <v>26</v>
      </c>
      <c r="P68" s="4" t="s">
        <v>27</v>
      </c>
      <c r="Q68" s="4" t="s">
        <v>28</v>
      </c>
      <c r="R68" s="4" t="s">
        <v>51</v>
      </c>
      <c r="S68">
        <v>320000</v>
      </c>
      <c r="T68">
        <f>(Tableau2[[#This Row],[PROD TOTALE/KG]]+Tableau2[[#This Row],[ PROD SURFACE (en Kg) ?]])/Tableau2[[#This Row],[SUP/HA]]</f>
        <v>9090.9090909090901</v>
      </c>
    </row>
    <row r="69" spans="1:20" x14ac:dyDescent="0.35">
      <c r="A69" t="s">
        <v>86</v>
      </c>
      <c r="B69" s="3">
        <v>2</v>
      </c>
      <c r="C69" s="4" t="s">
        <v>21</v>
      </c>
      <c r="D69" s="4" t="s">
        <v>65</v>
      </c>
      <c r="E69" s="4" t="s">
        <v>58</v>
      </c>
      <c r="F69">
        <v>0.5</v>
      </c>
      <c r="G69" s="4" t="s">
        <v>34</v>
      </c>
      <c r="H69">
        <v>1</v>
      </c>
      <c r="I69">
        <v>0</v>
      </c>
      <c r="J69">
        <f>Tableau2[[#This Row],[PROD TOTALE/KG]]+Tableau2[[#This Row],[ PROD SURFACE (en Kg) ?]]</f>
        <v>4000</v>
      </c>
      <c r="K69">
        <v>4000</v>
      </c>
      <c r="N69" s="4" t="s">
        <v>25</v>
      </c>
      <c r="O69" s="4" t="s">
        <v>26</v>
      </c>
      <c r="P69" s="4" t="s">
        <v>27</v>
      </c>
      <c r="Q69" s="4" t="s">
        <v>36</v>
      </c>
      <c r="S69">
        <v>400000</v>
      </c>
      <c r="T69">
        <f>(Tableau2[[#This Row],[PROD TOTALE/KG]]+Tableau2[[#This Row],[ PROD SURFACE (en Kg) ?]])/Tableau2[[#This Row],[SUP/HA]]</f>
        <v>8000</v>
      </c>
    </row>
    <row r="70" spans="1:20" x14ac:dyDescent="0.35">
      <c r="A70" t="s">
        <v>87</v>
      </c>
      <c r="B70" s="3">
        <v>1</v>
      </c>
      <c r="C70" s="4" t="s">
        <v>21</v>
      </c>
      <c r="D70" s="4" t="s">
        <v>65</v>
      </c>
      <c r="E70" s="4" t="s">
        <v>23</v>
      </c>
      <c r="F70">
        <v>0.25</v>
      </c>
      <c r="G70" s="4" t="s">
        <v>34</v>
      </c>
      <c r="H70">
        <v>1</v>
      </c>
      <c r="I70">
        <v>0</v>
      </c>
      <c r="J70">
        <f>Tableau2[[#This Row],[PROD TOTALE/KG]]+Tableau2[[#This Row],[ PROD SURFACE (en Kg) ?]]</f>
        <v>6000</v>
      </c>
      <c r="K70">
        <v>6000</v>
      </c>
      <c r="N70" s="4" t="s">
        <v>25</v>
      </c>
      <c r="O70" s="4" t="s">
        <v>26</v>
      </c>
      <c r="P70" s="4" t="s">
        <v>27</v>
      </c>
      <c r="Q70" s="4" t="s">
        <v>28</v>
      </c>
      <c r="R70" s="4" t="s">
        <v>29</v>
      </c>
      <c r="S70">
        <v>260000</v>
      </c>
      <c r="T70">
        <f>(Tableau2[[#This Row],[PROD TOTALE/KG]]+Tableau2[[#This Row],[ PROD SURFACE (en Kg) ?]])/Tableau2[[#This Row],[SUP/HA]]</f>
        <v>24000</v>
      </c>
    </row>
    <row r="71" spans="1:20" x14ac:dyDescent="0.35">
      <c r="A71" t="s">
        <v>87</v>
      </c>
      <c r="B71" s="3">
        <v>2</v>
      </c>
      <c r="D71" s="4" t="s">
        <v>65</v>
      </c>
      <c r="E71" s="4" t="s">
        <v>48</v>
      </c>
      <c r="F71">
        <v>0.33</v>
      </c>
      <c r="G71" s="4" t="s">
        <v>34</v>
      </c>
      <c r="H71">
        <v>1</v>
      </c>
      <c r="I71">
        <v>0</v>
      </c>
      <c r="J71">
        <f>Tableau2[[#This Row],[PROD TOTALE/KG]]+Tableau2[[#This Row],[ PROD SURFACE (en Kg) ?]]</f>
        <v>8000</v>
      </c>
      <c r="K71">
        <v>8000</v>
      </c>
      <c r="N71" s="4" t="s">
        <v>25</v>
      </c>
      <c r="O71" s="4" t="s">
        <v>26</v>
      </c>
      <c r="P71" s="4" t="s">
        <v>27</v>
      </c>
      <c r="Q71" s="4" t="s">
        <v>28</v>
      </c>
      <c r="R71" s="4" t="s">
        <v>51</v>
      </c>
      <c r="S71">
        <v>225000</v>
      </c>
      <c r="T71">
        <f>(Tableau2[[#This Row],[PROD TOTALE/KG]]+Tableau2[[#This Row],[ PROD SURFACE (en Kg) ?]])/Tableau2[[#This Row],[SUP/HA]]</f>
        <v>24242.42424242424</v>
      </c>
    </row>
    <row r="72" spans="1:20" x14ac:dyDescent="0.35">
      <c r="A72" t="s">
        <v>88</v>
      </c>
      <c r="B72" s="3">
        <v>1</v>
      </c>
      <c r="C72" s="4" t="s">
        <v>21</v>
      </c>
      <c r="D72" s="4" t="s">
        <v>65</v>
      </c>
      <c r="E72" s="4" t="s">
        <v>33</v>
      </c>
      <c r="F72">
        <v>0.5</v>
      </c>
      <c r="G72" s="4" t="s">
        <v>34</v>
      </c>
      <c r="H72">
        <v>1</v>
      </c>
      <c r="I72">
        <v>0</v>
      </c>
      <c r="J72">
        <f>Tableau2[[#This Row],[PROD TOTALE/KG]]+Tableau2[[#This Row],[ PROD SURFACE (en Kg) ?]]</f>
        <v>12000</v>
      </c>
      <c r="K72">
        <v>12000</v>
      </c>
      <c r="N72" s="4" t="s">
        <v>25</v>
      </c>
      <c r="O72" s="4" t="s">
        <v>26</v>
      </c>
      <c r="P72" s="4" t="s">
        <v>27</v>
      </c>
      <c r="Q72" s="4" t="s">
        <v>36</v>
      </c>
      <c r="S72">
        <v>333000</v>
      </c>
      <c r="T72">
        <f>(Tableau2[[#This Row],[PROD TOTALE/KG]]+Tableau2[[#This Row],[ PROD SURFACE (en Kg) ?]])/Tableau2[[#This Row],[SUP/HA]]</f>
        <v>24000</v>
      </c>
    </row>
    <row r="73" spans="1:20" x14ac:dyDescent="0.35">
      <c r="A73" t="s">
        <v>88</v>
      </c>
      <c r="B73" s="3">
        <v>1</v>
      </c>
      <c r="D73" s="4" t="s">
        <v>65</v>
      </c>
      <c r="E73" s="4" t="s">
        <v>23</v>
      </c>
      <c r="F73">
        <v>0.25</v>
      </c>
      <c r="G73" s="4" t="s">
        <v>34</v>
      </c>
      <c r="H73">
        <v>1</v>
      </c>
      <c r="I73">
        <v>0</v>
      </c>
      <c r="J73">
        <f>Tableau2[[#This Row],[PROD TOTALE/KG]]+Tableau2[[#This Row],[ PROD SURFACE (en Kg) ?]]</f>
        <v>7000</v>
      </c>
      <c r="K73">
        <v>7000</v>
      </c>
      <c r="N73" s="4" t="s">
        <v>25</v>
      </c>
      <c r="O73" s="4" t="s">
        <v>26</v>
      </c>
      <c r="P73" s="4" t="s">
        <v>27</v>
      </c>
      <c r="Q73" s="4" t="s">
        <v>28</v>
      </c>
      <c r="R73" s="4" t="s">
        <v>51</v>
      </c>
      <c r="S73">
        <v>240000</v>
      </c>
      <c r="T73">
        <f>(Tableau2[[#This Row],[PROD TOTALE/KG]]+Tableau2[[#This Row],[ PROD SURFACE (en Kg) ?]])/Tableau2[[#This Row],[SUP/HA]]</f>
        <v>28000</v>
      </c>
    </row>
    <row r="74" spans="1:20" x14ac:dyDescent="0.35">
      <c r="A74" t="s">
        <v>89</v>
      </c>
      <c r="B74" s="3">
        <v>2</v>
      </c>
      <c r="C74" s="4" t="s">
        <v>21</v>
      </c>
      <c r="D74" s="4" t="s">
        <v>65</v>
      </c>
      <c r="E74" s="4" t="s">
        <v>48</v>
      </c>
      <c r="F74">
        <v>0.25</v>
      </c>
      <c r="G74" s="4" t="s">
        <v>34</v>
      </c>
      <c r="H74">
        <v>1</v>
      </c>
      <c r="I74">
        <v>0</v>
      </c>
      <c r="J74">
        <f>Tableau2[[#This Row],[PROD TOTALE/KG]]+Tableau2[[#This Row],[ PROD SURFACE (en Kg) ?]]</f>
        <v>2100</v>
      </c>
      <c r="K74">
        <v>2100</v>
      </c>
      <c r="N74" s="4" t="s">
        <v>25</v>
      </c>
      <c r="O74" s="4" t="s">
        <v>26</v>
      </c>
      <c r="P74" s="4" t="s">
        <v>27</v>
      </c>
      <c r="Q74" s="4" t="s">
        <v>36</v>
      </c>
      <c r="S74">
        <v>80000</v>
      </c>
      <c r="T74">
        <f>(Tableau2[[#This Row],[PROD TOTALE/KG]]+Tableau2[[#This Row],[ PROD SURFACE (en Kg) ?]])/Tableau2[[#This Row],[SUP/HA]]</f>
        <v>8400</v>
      </c>
    </row>
    <row r="75" spans="1:20" x14ac:dyDescent="0.35">
      <c r="A75" t="s">
        <v>90</v>
      </c>
      <c r="B75" s="3">
        <v>1</v>
      </c>
      <c r="C75" s="4" t="s">
        <v>21</v>
      </c>
      <c r="D75" s="4" t="s">
        <v>47</v>
      </c>
      <c r="E75" s="4" t="s">
        <v>42</v>
      </c>
      <c r="F75">
        <v>6.0000000000000001E-3</v>
      </c>
      <c r="G75" s="4" t="s">
        <v>34</v>
      </c>
      <c r="H75">
        <v>1</v>
      </c>
      <c r="I75">
        <v>0</v>
      </c>
      <c r="J75">
        <f>Tableau2[[#This Row],[PROD TOTALE/KG]]+Tableau2[[#This Row],[ PROD SURFACE (en Kg) ?]]</f>
        <v>360</v>
      </c>
      <c r="K75">
        <v>360</v>
      </c>
      <c r="N75" s="4" t="s">
        <v>25</v>
      </c>
      <c r="O75" s="4" t="s">
        <v>49</v>
      </c>
      <c r="P75" s="4" t="s">
        <v>27</v>
      </c>
      <c r="Q75" s="4" t="s">
        <v>28</v>
      </c>
      <c r="R75" s="4" t="s">
        <v>29</v>
      </c>
      <c r="S75">
        <v>60000</v>
      </c>
      <c r="T75">
        <f>(Tableau2[[#This Row],[PROD TOTALE/KG]]+Tableau2[[#This Row],[ PROD SURFACE (en Kg) ?]])/Tableau2[[#This Row],[SUP/HA]]</f>
        <v>60000</v>
      </c>
    </row>
    <row r="76" spans="1:20" x14ac:dyDescent="0.35">
      <c r="A76" t="s">
        <v>90</v>
      </c>
      <c r="B76" s="3">
        <v>2</v>
      </c>
      <c r="D76" s="4" t="s">
        <v>47</v>
      </c>
      <c r="E76" s="4" t="s">
        <v>33</v>
      </c>
      <c r="F76">
        <v>2.3E-2</v>
      </c>
      <c r="G76" s="4" t="s">
        <v>24</v>
      </c>
      <c r="H76">
        <v>0</v>
      </c>
      <c r="I76">
        <v>1</v>
      </c>
      <c r="J76">
        <f>Tableau2[[#This Row],[PROD TOTALE/KG]]+Tableau2[[#This Row],[ PROD SURFACE (en Kg) ?]]</f>
        <v>120</v>
      </c>
      <c r="L76">
        <v>24</v>
      </c>
      <c r="M76">
        <v>120</v>
      </c>
      <c r="N76" s="4" t="s">
        <v>25</v>
      </c>
      <c r="O76" s="4" t="s">
        <v>49</v>
      </c>
      <c r="P76" s="4" t="s">
        <v>39</v>
      </c>
      <c r="S76">
        <v>56000</v>
      </c>
      <c r="T76">
        <f>(Tableau2[[#This Row],[PROD TOTALE/KG]]+Tableau2[[#This Row],[ PROD SURFACE (en Kg) ?]])/Tableau2[[#This Row],[SUP/HA]]</f>
        <v>5217.391304347826</v>
      </c>
    </row>
    <row r="77" spans="1:20" x14ac:dyDescent="0.35">
      <c r="A77" t="s">
        <v>90</v>
      </c>
      <c r="B77" s="3">
        <v>1</v>
      </c>
      <c r="D77" s="4" t="s">
        <v>47</v>
      </c>
      <c r="E77" s="4" t="s">
        <v>23</v>
      </c>
      <c r="F77">
        <v>0.12</v>
      </c>
      <c r="G77" s="4" t="s">
        <v>34</v>
      </c>
      <c r="H77">
        <v>1</v>
      </c>
      <c r="I77">
        <v>0</v>
      </c>
      <c r="J77">
        <f>Tableau2[[#This Row],[PROD TOTALE/KG]]+Tableau2[[#This Row],[ PROD SURFACE (en Kg) ?]]</f>
        <v>400</v>
      </c>
      <c r="K77">
        <v>400</v>
      </c>
      <c r="N77" s="4" t="s">
        <v>25</v>
      </c>
      <c r="O77" s="4" t="s">
        <v>49</v>
      </c>
      <c r="P77" s="4" t="s">
        <v>39</v>
      </c>
      <c r="S77">
        <v>160000</v>
      </c>
      <c r="T77">
        <f>(Tableau2[[#This Row],[PROD TOTALE/KG]]+Tableau2[[#This Row],[ PROD SURFACE (en Kg) ?]])/Tableau2[[#This Row],[SUP/HA]]</f>
        <v>3333.3333333333335</v>
      </c>
    </row>
    <row r="78" spans="1:20" x14ac:dyDescent="0.35">
      <c r="A78" t="s">
        <v>90</v>
      </c>
      <c r="B78" s="3">
        <v>1</v>
      </c>
      <c r="D78" s="4" t="s">
        <v>47</v>
      </c>
      <c r="E78" s="4" t="s">
        <v>48</v>
      </c>
      <c r="F78">
        <v>1.2E-2</v>
      </c>
      <c r="G78" s="4" t="s">
        <v>34</v>
      </c>
      <c r="H78">
        <v>1</v>
      </c>
      <c r="I78">
        <v>0</v>
      </c>
      <c r="J78">
        <f>Tableau2[[#This Row],[PROD TOTALE/KG]]+Tableau2[[#This Row],[ PROD SURFACE (en Kg) ?]]</f>
        <v>20</v>
      </c>
      <c r="K78">
        <v>20</v>
      </c>
      <c r="N78" s="4" t="s">
        <v>25</v>
      </c>
      <c r="O78" s="4" t="s">
        <v>49</v>
      </c>
      <c r="P78" s="4" t="s">
        <v>39</v>
      </c>
      <c r="S78">
        <v>10000</v>
      </c>
      <c r="T78">
        <f>(Tableau2[[#This Row],[PROD TOTALE/KG]]+Tableau2[[#This Row],[ PROD SURFACE (en Kg) ?]])/Tableau2[[#This Row],[SUP/HA]]</f>
        <v>1666.6666666666667</v>
      </c>
    </row>
    <row r="79" spans="1:20" x14ac:dyDescent="0.35">
      <c r="A79" t="s">
        <v>90</v>
      </c>
      <c r="B79" s="3">
        <v>3</v>
      </c>
      <c r="D79" s="4" t="s">
        <v>47</v>
      </c>
      <c r="E79" s="4" t="s">
        <v>58</v>
      </c>
      <c r="F79">
        <v>0.12</v>
      </c>
      <c r="G79" s="4" t="s">
        <v>34</v>
      </c>
      <c r="H79">
        <v>1</v>
      </c>
      <c r="I79">
        <v>0</v>
      </c>
      <c r="J79">
        <f>Tableau2[[#This Row],[PROD TOTALE/KG]]+Tableau2[[#This Row],[ PROD SURFACE (en Kg) ?]]</f>
        <v>180</v>
      </c>
      <c r="K79">
        <v>180</v>
      </c>
      <c r="N79" s="4" t="s">
        <v>25</v>
      </c>
      <c r="O79" s="4" t="s">
        <v>49</v>
      </c>
      <c r="P79" s="4" t="s">
        <v>39</v>
      </c>
      <c r="S79">
        <v>800000</v>
      </c>
      <c r="T79">
        <f>(Tableau2[[#This Row],[PROD TOTALE/KG]]+Tableau2[[#This Row],[ PROD SURFACE (en Kg) ?]])/Tableau2[[#This Row],[SUP/HA]]</f>
        <v>1500</v>
      </c>
    </row>
    <row r="80" spans="1:20" x14ac:dyDescent="0.35">
      <c r="A80" t="s">
        <v>91</v>
      </c>
      <c r="B80" s="3">
        <v>4</v>
      </c>
      <c r="C80" s="4" t="s">
        <v>21</v>
      </c>
      <c r="D80" s="4" t="s">
        <v>47</v>
      </c>
      <c r="E80" s="4" t="s">
        <v>58</v>
      </c>
      <c r="F80">
        <v>2</v>
      </c>
      <c r="G80" s="4" t="s">
        <v>34</v>
      </c>
      <c r="H80">
        <v>1</v>
      </c>
      <c r="I80">
        <v>0</v>
      </c>
      <c r="J80">
        <f>Tableau2[[#This Row],[PROD TOTALE/KG]]+Tableau2[[#This Row],[ PROD SURFACE (en Kg) ?]]</f>
        <v>1200</v>
      </c>
      <c r="K80">
        <v>1200</v>
      </c>
      <c r="N80" s="4" t="s">
        <v>25</v>
      </c>
      <c r="O80" s="4" t="s">
        <v>49</v>
      </c>
      <c r="P80" s="4" t="s">
        <v>27</v>
      </c>
      <c r="Q80" s="4" t="s">
        <v>28</v>
      </c>
      <c r="R80" s="4" t="s">
        <v>51</v>
      </c>
      <c r="S80">
        <v>2000000</v>
      </c>
      <c r="T80">
        <f>(Tableau2[[#This Row],[PROD TOTALE/KG]]+Tableau2[[#This Row],[ PROD SURFACE (en Kg) ?]])/Tableau2[[#This Row],[SUP/HA]]</f>
        <v>600</v>
      </c>
    </row>
    <row r="81" spans="1:20" x14ac:dyDescent="0.35">
      <c r="A81" t="s">
        <v>91</v>
      </c>
      <c r="B81" s="3">
        <v>5</v>
      </c>
      <c r="D81" s="4" t="s">
        <v>47</v>
      </c>
      <c r="E81" s="4" t="s">
        <v>45</v>
      </c>
      <c r="F81">
        <v>1</v>
      </c>
      <c r="G81" s="4" t="s">
        <v>34</v>
      </c>
      <c r="H81">
        <v>1</v>
      </c>
      <c r="I81">
        <v>0</v>
      </c>
      <c r="J81">
        <f>Tableau2[[#This Row],[PROD TOTALE/KG]]+Tableau2[[#This Row],[ PROD SURFACE (en Kg) ?]]</f>
        <v>2500</v>
      </c>
      <c r="K81">
        <v>2500</v>
      </c>
      <c r="N81" s="4" t="s">
        <v>25</v>
      </c>
      <c r="O81" s="4" t="s">
        <v>35</v>
      </c>
      <c r="P81" s="4" t="s">
        <v>39</v>
      </c>
      <c r="S81">
        <v>700000</v>
      </c>
      <c r="T81">
        <f>(Tableau2[[#This Row],[PROD TOTALE/KG]]+Tableau2[[#This Row],[ PROD SURFACE (en Kg) ?]])/Tableau2[[#This Row],[SUP/HA]]</f>
        <v>2500</v>
      </c>
    </row>
    <row r="82" spans="1:20" x14ac:dyDescent="0.35">
      <c r="A82" t="s">
        <v>91</v>
      </c>
      <c r="B82" s="3">
        <v>7</v>
      </c>
      <c r="D82" s="4" t="s">
        <v>47</v>
      </c>
      <c r="E82" s="4" t="s">
        <v>54</v>
      </c>
      <c r="F82">
        <v>2</v>
      </c>
      <c r="G82" s="4" t="s">
        <v>34</v>
      </c>
      <c r="H82">
        <v>1</v>
      </c>
      <c r="I82">
        <v>0</v>
      </c>
      <c r="J82">
        <f>Tableau2[[#This Row],[PROD TOTALE/KG]]+Tableau2[[#This Row],[ PROD SURFACE (en Kg) ?]]</f>
        <v>1200</v>
      </c>
      <c r="K82">
        <v>1200</v>
      </c>
      <c r="N82" s="4" t="s">
        <v>25</v>
      </c>
      <c r="O82" s="4" t="s">
        <v>49</v>
      </c>
      <c r="P82" s="4" t="s">
        <v>39</v>
      </c>
      <c r="S82">
        <v>320000</v>
      </c>
      <c r="T82">
        <f>(Tableau2[[#This Row],[PROD TOTALE/KG]]+Tableau2[[#This Row],[ PROD SURFACE (en Kg) ?]])/Tableau2[[#This Row],[SUP/HA]]</f>
        <v>600</v>
      </c>
    </row>
    <row r="83" spans="1:20" x14ac:dyDescent="0.35">
      <c r="A83" t="s">
        <v>92</v>
      </c>
      <c r="B83" s="3">
        <v>1</v>
      </c>
      <c r="C83" s="4" t="s">
        <v>21</v>
      </c>
      <c r="D83" s="4" t="s">
        <v>47</v>
      </c>
      <c r="E83" s="4" t="s">
        <v>56</v>
      </c>
      <c r="F83">
        <v>0.5</v>
      </c>
      <c r="G83" s="4" t="s">
        <v>34</v>
      </c>
      <c r="H83">
        <v>1</v>
      </c>
      <c r="I83">
        <v>0</v>
      </c>
      <c r="J83">
        <f>Tableau2[[#This Row],[PROD TOTALE/KG]]+Tableau2[[#This Row],[ PROD SURFACE (en Kg) ?]]</f>
        <v>240</v>
      </c>
      <c r="K83">
        <v>240</v>
      </c>
      <c r="N83" s="4" t="s">
        <v>25</v>
      </c>
      <c r="O83" s="4" t="s">
        <v>35</v>
      </c>
      <c r="P83" s="4" t="s">
        <v>39</v>
      </c>
      <c r="S83">
        <v>72000</v>
      </c>
      <c r="T83">
        <f>(Tableau2[[#This Row],[PROD TOTALE/KG]]+Tableau2[[#This Row],[ PROD SURFACE (en Kg) ?]])/Tableau2[[#This Row],[SUP/HA]]</f>
        <v>480</v>
      </c>
    </row>
    <row r="84" spans="1:20" x14ac:dyDescent="0.35">
      <c r="A84" t="s">
        <v>92</v>
      </c>
      <c r="B84" s="3">
        <v>2</v>
      </c>
      <c r="D84" s="4" t="s">
        <v>47</v>
      </c>
      <c r="E84" s="4" t="s">
        <v>93</v>
      </c>
      <c r="F84">
        <v>0.5</v>
      </c>
      <c r="G84" s="4" t="s">
        <v>34</v>
      </c>
      <c r="H84">
        <v>1</v>
      </c>
      <c r="I84">
        <v>0</v>
      </c>
      <c r="J84">
        <f>Tableau2[[#This Row],[PROD TOTALE/KG]]+Tableau2[[#This Row],[ PROD SURFACE (en Kg) ?]]</f>
        <v>300</v>
      </c>
      <c r="K84">
        <v>300</v>
      </c>
      <c r="N84" s="4" t="s">
        <v>25</v>
      </c>
      <c r="O84" s="4" t="s">
        <v>49</v>
      </c>
      <c r="P84" s="4" t="s">
        <v>39</v>
      </c>
      <c r="S84">
        <v>70000</v>
      </c>
      <c r="T84">
        <f>(Tableau2[[#This Row],[PROD TOTALE/KG]]+Tableau2[[#This Row],[ PROD SURFACE (en Kg) ?]])/Tableau2[[#This Row],[SUP/HA]]</f>
        <v>600</v>
      </c>
    </row>
    <row r="85" spans="1:20" x14ac:dyDescent="0.35">
      <c r="A85" t="s">
        <v>92</v>
      </c>
      <c r="B85" s="3">
        <v>3</v>
      </c>
      <c r="D85" s="4" t="s">
        <v>47</v>
      </c>
      <c r="E85" s="4" t="s">
        <v>45</v>
      </c>
      <c r="F85">
        <v>1</v>
      </c>
      <c r="G85" s="4" t="s">
        <v>24</v>
      </c>
      <c r="H85">
        <v>0</v>
      </c>
      <c r="I85">
        <v>1</v>
      </c>
      <c r="J85">
        <f>Tableau2[[#This Row],[PROD TOTALE/KG]]+Tableau2[[#This Row],[ PROD SURFACE (en Kg) ?]]</f>
        <v>600</v>
      </c>
      <c r="L85">
        <v>5000</v>
      </c>
      <c r="M85">
        <v>600</v>
      </c>
      <c r="N85" s="4" t="s">
        <v>25</v>
      </c>
      <c r="O85" s="4" t="s">
        <v>49</v>
      </c>
      <c r="P85" s="4" t="s">
        <v>39</v>
      </c>
      <c r="S85">
        <v>100000</v>
      </c>
      <c r="T85">
        <f>(Tableau2[[#This Row],[PROD TOTALE/KG]]+Tableau2[[#This Row],[ PROD SURFACE (en Kg) ?]])/Tableau2[[#This Row],[SUP/HA]]</f>
        <v>600</v>
      </c>
    </row>
    <row r="86" spans="1:20" x14ac:dyDescent="0.35">
      <c r="A86" t="s">
        <v>94</v>
      </c>
      <c r="B86" s="3">
        <v>1</v>
      </c>
      <c r="C86" s="4" t="s">
        <v>21</v>
      </c>
      <c r="D86" s="4" t="s">
        <v>47</v>
      </c>
      <c r="E86" s="4" t="s">
        <v>45</v>
      </c>
      <c r="F86">
        <v>1</v>
      </c>
      <c r="G86" s="4" t="s">
        <v>34</v>
      </c>
      <c r="H86">
        <v>1</v>
      </c>
      <c r="I86">
        <v>0</v>
      </c>
      <c r="J86">
        <f>Tableau2[[#This Row],[PROD TOTALE/KG]]+Tableau2[[#This Row],[ PROD SURFACE (en Kg) ?]]</f>
        <v>1250</v>
      </c>
      <c r="K86">
        <v>1250</v>
      </c>
      <c r="N86" s="4" t="s">
        <v>25</v>
      </c>
      <c r="O86" s="4" t="s">
        <v>35</v>
      </c>
      <c r="P86" s="4" t="s">
        <v>27</v>
      </c>
      <c r="Q86" s="4" t="s">
        <v>28</v>
      </c>
      <c r="R86" s="4" t="s">
        <v>29</v>
      </c>
      <c r="S86">
        <v>350000</v>
      </c>
      <c r="T86">
        <f>(Tableau2[[#This Row],[PROD TOTALE/KG]]+Tableau2[[#This Row],[ PROD SURFACE (en Kg) ?]])/Tableau2[[#This Row],[SUP/HA]]</f>
        <v>1250</v>
      </c>
    </row>
    <row r="87" spans="1:20" x14ac:dyDescent="0.35">
      <c r="A87" t="s">
        <v>94</v>
      </c>
      <c r="B87" s="3">
        <v>2</v>
      </c>
      <c r="D87" s="4" t="s">
        <v>47</v>
      </c>
      <c r="E87" s="4" t="s">
        <v>48</v>
      </c>
      <c r="F87">
        <v>0.25</v>
      </c>
      <c r="G87" s="4" t="s">
        <v>34</v>
      </c>
      <c r="H87">
        <v>1</v>
      </c>
      <c r="I87">
        <v>0</v>
      </c>
      <c r="J87">
        <f>Tableau2[[#This Row],[PROD TOTALE/KG]]+Tableau2[[#This Row],[ PROD SURFACE (en Kg) ?]]</f>
        <v>1500</v>
      </c>
      <c r="K87">
        <v>1500</v>
      </c>
      <c r="N87" s="4" t="s">
        <v>25</v>
      </c>
      <c r="O87" s="4" t="s">
        <v>35</v>
      </c>
      <c r="P87" s="4" t="s">
        <v>39</v>
      </c>
      <c r="S87">
        <v>80000</v>
      </c>
      <c r="T87">
        <f>(Tableau2[[#This Row],[PROD TOTALE/KG]]+Tableau2[[#This Row],[ PROD SURFACE (en Kg) ?]])/Tableau2[[#This Row],[SUP/HA]]</f>
        <v>6000</v>
      </c>
    </row>
    <row r="88" spans="1:20" x14ac:dyDescent="0.35">
      <c r="A88" t="s">
        <v>95</v>
      </c>
      <c r="B88" s="3">
        <v>3</v>
      </c>
      <c r="C88" s="4" t="s">
        <v>21</v>
      </c>
      <c r="D88" s="4" t="s">
        <v>47</v>
      </c>
      <c r="E88" s="4" t="s">
        <v>56</v>
      </c>
      <c r="F88">
        <v>0.5</v>
      </c>
      <c r="G88" s="4" t="s">
        <v>34</v>
      </c>
      <c r="H88">
        <v>1</v>
      </c>
      <c r="I88">
        <v>0</v>
      </c>
      <c r="J88">
        <f>Tableau2[[#This Row],[PROD TOTALE/KG]]+Tableau2[[#This Row],[ PROD SURFACE (en Kg) ?]]</f>
        <v>300</v>
      </c>
      <c r="K88">
        <v>300</v>
      </c>
      <c r="N88" s="4" t="s">
        <v>25</v>
      </c>
      <c r="O88" s="4" t="s">
        <v>49</v>
      </c>
      <c r="P88" s="4" t="s">
        <v>39</v>
      </c>
      <c r="S88">
        <v>80000</v>
      </c>
      <c r="T88">
        <f>(Tableau2[[#This Row],[PROD TOTALE/KG]]+Tableau2[[#This Row],[ PROD SURFACE (en Kg) ?]])/Tableau2[[#This Row],[SUP/HA]]</f>
        <v>600</v>
      </c>
    </row>
    <row r="89" spans="1:20" x14ac:dyDescent="0.35">
      <c r="A89" t="s">
        <v>95</v>
      </c>
      <c r="B89" s="3">
        <v>1</v>
      </c>
      <c r="D89" s="4" t="s">
        <v>47</v>
      </c>
      <c r="E89" s="4" t="s">
        <v>45</v>
      </c>
      <c r="F89">
        <v>1</v>
      </c>
      <c r="G89" s="4" t="s">
        <v>34</v>
      </c>
      <c r="H89">
        <v>1</v>
      </c>
      <c r="I89">
        <v>0</v>
      </c>
      <c r="J89">
        <f>Tableau2[[#This Row],[PROD TOTALE/KG]]+Tableau2[[#This Row],[ PROD SURFACE (en Kg) ?]]</f>
        <v>780</v>
      </c>
      <c r="K89">
        <v>780</v>
      </c>
      <c r="N89" s="4" t="s">
        <v>25</v>
      </c>
      <c r="O89" s="4" t="s">
        <v>49</v>
      </c>
      <c r="P89" s="4" t="s">
        <v>39</v>
      </c>
      <c r="S89">
        <v>340000</v>
      </c>
      <c r="T89">
        <f>(Tableau2[[#This Row],[PROD TOTALE/KG]]+Tableau2[[#This Row],[ PROD SURFACE (en Kg) ?]])/Tableau2[[#This Row],[SUP/HA]]</f>
        <v>780</v>
      </c>
    </row>
    <row r="90" spans="1:20" x14ac:dyDescent="0.35">
      <c r="A90" t="s">
        <v>96</v>
      </c>
      <c r="B90" s="3">
        <v>2</v>
      </c>
      <c r="C90" s="4" t="s">
        <v>31</v>
      </c>
      <c r="D90" s="4" t="s">
        <v>32</v>
      </c>
      <c r="E90" s="4" t="s">
        <v>33</v>
      </c>
      <c r="F90">
        <v>0.5</v>
      </c>
      <c r="G90" s="4" t="s">
        <v>24</v>
      </c>
      <c r="H90">
        <v>0</v>
      </c>
      <c r="I90">
        <v>1</v>
      </c>
      <c r="J90">
        <f>Tableau2[[#This Row],[PROD TOTALE/KG]]+Tableau2[[#This Row],[ PROD SURFACE (en Kg) ?]]</f>
        <v>2</v>
      </c>
      <c r="L90">
        <v>10</v>
      </c>
      <c r="M90">
        <v>2</v>
      </c>
      <c r="N90" s="4" t="s">
        <v>25</v>
      </c>
      <c r="O90" s="4" t="s">
        <v>49</v>
      </c>
      <c r="P90" s="4" t="s">
        <v>39</v>
      </c>
      <c r="S90">
        <v>40000</v>
      </c>
      <c r="T90">
        <f>(Tableau2[[#This Row],[PROD TOTALE/KG]]+Tableau2[[#This Row],[ PROD SURFACE (en Kg) ?]])/Tableau2[[#This Row],[SUP/HA]]</f>
        <v>4</v>
      </c>
    </row>
    <row r="91" spans="1:20" x14ac:dyDescent="0.35">
      <c r="A91" t="s">
        <v>96</v>
      </c>
      <c r="B91" s="3">
        <v>1</v>
      </c>
      <c r="D91" s="4" t="s">
        <v>32</v>
      </c>
      <c r="E91" s="4" t="s">
        <v>56</v>
      </c>
      <c r="F91">
        <v>0.5</v>
      </c>
      <c r="G91" s="4" t="s">
        <v>24</v>
      </c>
      <c r="H91">
        <v>0</v>
      </c>
      <c r="I91">
        <v>1</v>
      </c>
      <c r="J91">
        <f>Tableau2[[#This Row],[PROD TOTALE/KG]]+Tableau2[[#This Row],[ PROD SURFACE (en Kg) ?]]</f>
        <v>1</v>
      </c>
      <c r="L91">
        <v>10</v>
      </c>
      <c r="M91">
        <v>1</v>
      </c>
      <c r="N91" s="4" t="s">
        <v>25</v>
      </c>
      <c r="O91" s="4" t="s">
        <v>49</v>
      </c>
      <c r="P91" s="4" t="s">
        <v>39</v>
      </c>
      <c r="S91">
        <v>20000</v>
      </c>
      <c r="T91">
        <f>(Tableau2[[#This Row],[PROD TOTALE/KG]]+Tableau2[[#This Row],[ PROD SURFACE (en Kg) ?]])/Tableau2[[#This Row],[SUP/HA]]</f>
        <v>2</v>
      </c>
    </row>
    <row r="92" spans="1:20" x14ac:dyDescent="0.35">
      <c r="A92" t="s">
        <v>96</v>
      </c>
      <c r="B92" s="3">
        <v>2</v>
      </c>
      <c r="D92" s="4" t="s">
        <v>32</v>
      </c>
      <c r="E92" s="4" t="s">
        <v>97</v>
      </c>
      <c r="F92">
        <v>0.5</v>
      </c>
      <c r="G92" s="4" t="s">
        <v>24</v>
      </c>
      <c r="H92">
        <v>0</v>
      </c>
      <c r="I92">
        <v>1</v>
      </c>
      <c r="J92">
        <f>Tableau2[[#This Row],[PROD TOTALE/KG]]+Tableau2[[#This Row],[ PROD SURFACE (en Kg) ?]]</f>
        <v>1000</v>
      </c>
      <c r="L92">
        <v>250</v>
      </c>
      <c r="M92">
        <v>1000</v>
      </c>
      <c r="N92" s="4" t="s">
        <v>25</v>
      </c>
      <c r="O92" s="4" t="s">
        <v>49</v>
      </c>
      <c r="P92" s="4" t="s">
        <v>39</v>
      </c>
      <c r="S92">
        <v>100000</v>
      </c>
      <c r="T92">
        <f>(Tableau2[[#This Row],[PROD TOTALE/KG]]+Tableau2[[#This Row],[ PROD SURFACE (en Kg) ?]])/Tableau2[[#This Row],[SUP/HA]]</f>
        <v>2000</v>
      </c>
    </row>
    <row r="93" spans="1:20" x14ac:dyDescent="0.35">
      <c r="A93" t="s">
        <v>96</v>
      </c>
      <c r="B93" s="3">
        <v>1</v>
      </c>
      <c r="D93" s="4" t="s">
        <v>32</v>
      </c>
      <c r="E93" s="4" t="s">
        <v>48</v>
      </c>
      <c r="F93">
        <v>1</v>
      </c>
      <c r="G93" s="4" t="s">
        <v>24</v>
      </c>
      <c r="H93">
        <v>0</v>
      </c>
      <c r="I93">
        <v>1</v>
      </c>
      <c r="J93">
        <f>Tableau2[[#This Row],[PROD TOTALE/KG]]+Tableau2[[#This Row],[ PROD SURFACE (en Kg) ?]]</f>
        <v>500</v>
      </c>
      <c r="L93">
        <v>20</v>
      </c>
      <c r="M93">
        <v>500</v>
      </c>
      <c r="N93" s="4" t="s">
        <v>25</v>
      </c>
      <c r="O93" s="4" t="s">
        <v>49</v>
      </c>
      <c r="P93" s="4" t="s">
        <v>39</v>
      </c>
      <c r="S93">
        <v>30000</v>
      </c>
      <c r="T93">
        <f>(Tableau2[[#This Row],[PROD TOTALE/KG]]+Tableau2[[#This Row],[ PROD SURFACE (en Kg) ?]])/Tableau2[[#This Row],[SUP/HA]]</f>
        <v>500</v>
      </c>
    </row>
    <row r="94" spans="1:20" x14ac:dyDescent="0.35">
      <c r="A94" t="s">
        <v>96</v>
      </c>
      <c r="B94" s="3">
        <v>2</v>
      </c>
      <c r="D94" s="4" t="s">
        <v>32</v>
      </c>
      <c r="E94" s="4" t="s">
        <v>58</v>
      </c>
      <c r="F94">
        <v>0.5</v>
      </c>
      <c r="G94" s="4" t="s">
        <v>24</v>
      </c>
      <c r="H94">
        <v>0</v>
      </c>
      <c r="I94">
        <v>1</v>
      </c>
      <c r="J94">
        <f>Tableau2[[#This Row],[PROD TOTALE/KG]]+Tableau2[[#This Row],[ PROD SURFACE (en Kg) ?]]</f>
        <v>250</v>
      </c>
      <c r="L94">
        <v>20</v>
      </c>
      <c r="M94">
        <v>250</v>
      </c>
      <c r="N94" s="4" t="s">
        <v>25</v>
      </c>
      <c r="O94" s="4" t="s">
        <v>49</v>
      </c>
      <c r="P94" s="4" t="s">
        <v>39</v>
      </c>
      <c r="S94">
        <v>20000</v>
      </c>
      <c r="T94">
        <f>(Tableau2[[#This Row],[PROD TOTALE/KG]]+Tableau2[[#This Row],[ PROD SURFACE (en Kg) ?]])/Tableau2[[#This Row],[SUP/HA]]</f>
        <v>500</v>
      </c>
    </row>
    <row r="95" spans="1:20" x14ac:dyDescent="0.35">
      <c r="A95" t="s">
        <v>96</v>
      </c>
      <c r="B95" s="3">
        <v>3</v>
      </c>
      <c r="D95" s="4" t="s">
        <v>32</v>
      </c>
      <c r="E95" s="4" t="s">
        <v>45</v>
      </c>
      <c r="F95">
        <v>0.5</v>
      </c>
      <c r="G95" s="4" t="s">
        <v>24</v>
      </c>
      <c r="H95">
        <v>0</v>
      </c>
      <c r="I95">
        <v>1</v>
      </c>
      <c r="J95">
        <f>Tableau2[[#This Row],[PROD TOTALE/KG]]+Tableau2[[#This Row],[ PROD SURFACE (en Kg) ?]]</f>
        <v>500</v>
      </c>
      <c r="L95">
        <v>30</v>
      </c>
      <c r="M95">
        <v>500</v>
      </c>
      <c r="N95" s="4" t="s">
        <v>25</v>
      </c>
      <c r="O95" s="4" t="s">
        <v>49</v>
      </c>
      <c r="P95" s="4" t="s">
        <v>39</v>
      </c>
      <c r="S95">
        <v>25000</v>
      </c>
      <c r="T95">
        <f>(Tableau2[[#This Row],[PROD TOTALE/KG]]+Tableau2[[#This Row],[ PROD SURFACE (en Kg) ?]])/Tableau2[[#This Row],[SUP/HA]]</f>
        <v>1000</v>
      </c>
    </row>
    <row r="96" spans="1:20" x14ac:dyDescent="0.35">
      <c r="A96" t="s">
        <v>98</v>
      </c>
      <c r="B96" s="3">
        <v>4</v>
      </c>
      <c r="C96" s="4" t="s">
        <v>31</v>
      </c>
      <c r="D96" s="4" t="s">
        <v>32</v>
      </c>
      <c r="E96" s="4" t="s">
        <v>45</v>
      </c>
      <c r="F96">
        <v>0.5</v>
      </c>
      <c r="G96" s="4" t="s">
        <v>24</v>
      </c>
      <c r="H96">
        <v>0</v>
      </c>
      <c r="I96">
        <v>1</v>
      </c>
      <c r="J96">
        <f>Tableau2[[#This Row],[PROD TOTALE/KG]]+Tableau2[[#This Row],[ PROD SURFACE (en Kg) ?]]</f>
        <v>250</v>
      </c>
      <c r="L96">
        <v>100</v>
      </c>
      <c r="M96">
        <v>250</v>
      </c>
      <c r="N96" s="4" t="s">
        <v>25</v>
      </c>
      <c r="O96" s="4" t="s">
        <v>49</v>
      </c>
      <c r="P96" s="4" t="s">
        <v>39</v>
      </c>
      <c r="S96">
        <v>100000</v>
      </c>
      <c r="T96">
        <f>(Tableau2[[#This Row],[PROD TOTALE/KG]]+Tableau2[[#This Row],[ PROD SURFACE (en Kg) ?]])/Tableau2[[#This Row],[SUP/HA]]</f>
        <v>500</v>
      </c>
    </row>
    <row r="97" spans="1:20" x14ac:dyDescent="0.35">
      <c r="A97" t="s">
        <v>99</v>
      </c>
      <c r="B97" s="3">
        <v>5</v>
      </c>
      <c r="C97" s="4" t="s">
        <v>31</v>
      </c>
      <c r="D97" s="4" t="s">
        <v>32</v>
      </c>
      <c r="E97" s="4" t="s">
        <v>45</v>
      </c>
      <c r="F97">
        <v>2</v>
      </c>
      <c r="G97" s="4" t="s">
        <v>24</v>
      </c>
      <c r="H97">
        <v>0</v>
      </c>
      <c r="I97">
        <v>1</v>
      </c>
      <c r="J97">
        <f>Tableau2[[#This Row],[PROD TOTALE/KG]]+Tableau2[[#This Row],[ PROD SURFACE (en Kg) ?]]</f>
        <v>15000</v>
      </c>
      <c r="L97">
        <v>1500</v>
      </c>
      <c r="M97">
        <v>15000</v>
      </c>
      <c r="N97" s="4" t="s">
        <v>25</v>
      </c>
      <c r="O97" s="4" t="s">
        <v>49</v>
      </c>
      <c r="P97" s="4" t="s">
        <v>27</v>
      </c>
      <c r="Q97" s="4" t="s">
        <v>28</v>
      </c>
      <c r="R97" s="4" t="s">
        <v>37</v>
      </c>
      <c r="S97">
        <v>1500000</v>
      </c>
      <c r="T97">
        <f>(Tableau2[[#This Row],[PROD TOTALE/KG]]+Tableau2[[#This Row],[ PROD SURFACE (en Kg) ?]])/Tableau2[[#This Row],[SUP/HA]]</f>
        <v>7500</v>
      </c>
    </row>
    <row r="98" spans="1:20" x14ac:dyDescent="0.35">
      <c r="A98" t="s">
        <v>100</v>
      </c>
      <c r="B98" s="3">
        <v>6</v>
      </c>
      <c r="C98" s="4" t="s">
        <v>31</v>
      </c>
      <c r="D98" s="4" t="s">
        <v>32</v>
      </c>
      <c r="E98" s="4" t="s">
        <v>33</v>
      </c>
      <c r="F98">
        <v>1</v>
      </c>
      <c r="G98" s="4" t="s">
        <v>24</v>
      </c>
      <c r="H98">
        <v>0</v>
      </c>
      <c r="I98">
        <v>1</v>
      </c>
      <c r="J98">
        <f>Tableau2[[#This Row],[PROD TOTALE/KG]]+Tableau2[[#This Row],[ PROD SURFACE (en Kg) ?]]</f>
        <v>5</v>
      </c>
      <c r="L98">
        <v>30</v>
      </c>
      <c r="M98">
        <v>5</v>
      </c>
      <c r="N98" s="4" t="s">
        <v>25</v>
      </c>
      <c r="O98" s="4" t="s">
        <v>49</v>
      </c>
      <c r="P98" s="4" t="s">
        <v>39</v>
      </c>
      <c r="S98">
        <v>100000</v>
      </c>
      <c r="T98">
        <f>(Tableau2[[#This Row],[PROD TOTALE/KG]]+Tableau2[[#This Row],[ PROD SURFACE (en Kg) ?]])/Tableau2[[#This Row],[SUP/HA]]</f>
        <v>5</v>
      </c>
    </row>
    <row r="99" spans="1:20" x14ac:dyDescent="0.35">
      <c r="A99" t="s">
        <v>100</v>
      </c>
      <c r="B99" s="3">
        <v>7</v>
      </c>
      <c r="D99" s="4" t="s">
        <v>32</v>
      </c>
      <c r="E99" s="4" t="s">
        <v>45</v>
      </c>
      <c r="F99">
        <v>1</v>
      </c>
      <c r="G99" s="4" t="s">
        <v>24</v>
      </c>
      <c r="H99">
        <v>0</v>
      </c>
      <c r="I99">
        <v>1</v>
      </c>
      <c r="J99">
        <f>Tableau2[[#This Row],[PROD TOTALE/KG]]+Tableau2[[#This Row],[ PROD SURFACE (en Kg) ?]]</f>
        <v>1500</v>
      </c>
      <c r="L99">
        <v>250</v>
      </c>
      <c r="M99">
        <v>1500</v>
      </c>
      <c r="N99" s="4" t="s">
        <v>25</v>
      </c>
      <c r="O99" s="4" t="s">
        <v>35</v>
      </c>
      <c r="P99" s="4" t="s">
        <v>27</v>
      </c>
      <c r="Q99" s="4" t="s">
        <v>28</v>
      </c>
      <c r="R99" s="4" t="s">
        <v>52</v>
      </c>
      <c r="S99">
        <v>120000</v>
      </c>
      <c r="T99">
        <f>(Tableau2[[#This Row],[PROD TOTALE/KG]]+Tableau2[[#This Row],[ PROD SURFACE (en Kg) ?]])/Tableau2[[#This Row],[SUP/HA]]</f>
        <v>1500</v>
      </c>
    </row>
    <row r="100" spans="1:20" x14ac:dyDescent="0.35">
      <c r="A100" t="s">
        <v>101</v>
      </c>
      <c r="B100" s="3">
        <v>8</v>
      </c>
      <c r="C100" s="4" t="s">
        <v>31</v>
      </c>
      <c r="D100" s="4" t="s">
        <v>32</v>
      </c>
      <c r="E100" s="4" t="s">
        <v>54</v>
      </c>
      <c r="F100">
        <v>0.25</v>
      </c>
      <c r="G100" s="4" t="s">
        <v>24</v>
      </c>
      <c r="H100">
        <v>0</v>
      </c>
      <c r="I100">
        <v>1</v>
      </c>
      <c r="J100">
        <f>Tableau2[[#This Row],[PROD TOTALE/KG]]+Tableau2[[#This Row],[ PROD SURFACE (en Kg) ?]]</f>
        <v>1</v>
      </c>
      <c r="L100">
        <v>20</v>
      </c>
      <c r="M100">
        <v>1</v>
      </c>
      <c r="N100" s="4" t="s">
        <v>66</v>
      </c>
      <c r="P100" s="4" t="s">
        <v>39</v>
      </c>
      <c r="S100">
        <v>1500</v>
      </c>
      <c r="T100">
        <f>(Tableau2[[#This Row],[PROD TOTALE/KG]]+Tableau2[[#This Row],[ PROD SURFACE (en Kg) ?]])/Tableau2[[#This Row],[SUP/HA]]</f>
        <v>4</v>
      </c>
    </row>
    <row r="101" spans="1:20" x14ac:dyDescent="0.35">
      <c r="A101" t="s">
        <v>101</v>
      </c>
      <c r="B101" s="3">
        <v>9</v>
      </c>
      <c r="D101" s="4" t="s">
        <v>32</v>
      </c>
      <c r="E101" s="4" t="s">
        <v>33</v>
      </c>
      <c r="F101">
        <v>1</v>
      </c>
      <c r="G101" s="4" t="s">
        <v>24</v>
      </c>
      <c r="H101">
        <v>0</v>
      </c>
      <c r="I101">
        <v>1</v>
      </c>
      <c r="J101">
        <f>Tableau2[[#This Row],[PROD TOTALE/KG]]+Tableau2[[#This Row],[ PROD SURFACE (en Kg) ?]]</f>
        <v>5</v>
      </c>
      <c r="L101">
        <v>15</v>
      </c>
      <c r="M101">
        <v>5</v>
      </c>
      <c r="N101" s="4" t="s">
        <v>25</v>
      </c>
      <c r="O101" s="4" t="s">
        <v>49</v>
      </c>
      <c r="P101" s="4" t="s">
        <v>39</v>
      </c>
      <c r="S101">
        <v>20000</v>
      </c>
      <c r="T101">
        <f>(Tableau2[[#This Row],[PROD TOTALE/KG]]+Tableau2[[#This Row],[ PROD SURFACE (en Kg) ?]])/Tableau2[[#This Row],[SUP/HA]]</f>
        <v>5</v>
      </c>
    </row>
    <row r="102" spans="1:20" x14ac:dyDescent="0.35">
      <c r="A102" t="s">
        <v>101</v>
      </c>
      <c r="B102" s="3">
        <v>10</v>
      </c>
      <c r="D102" s="4" t="s">
        <v>32</v>
      </c>
      <c r="E102" s="4" t="s">
        <v>56</v>
      </c>
      <c r="F102">
        <v>1</v>
      </c>
      <c r="G102" s="4" t="s">
        <v>24</v>
      </c>
      <c r="H102">
        <v>0</v>
      </c>
      <c r="I102">
        <v>1</v>
      </c>
      <c r="J102">
        <f>Tableau2[[#This Row],[PROD TOTALE/KG]]+Tableau2[[#This Row],[ PROD SURFACE (en Kg) ?]]</f>
        <v>2</v>
      </c>
      <c r="L102">
        <v>25</v>
      </c>
      <c r="M102">
        <v>2</v>
      </c>
      <c r="N102" s="4" t="s">
        <v>25</v>
      </c>
      <c r="O102" s="4" t="s">
        <v>49</v>
      </c>
      <c r="P102" s="4" t="s">
        <v>27</v>
      </c>
      <c r="Q102" s="4" t="s">
        <v>28</v>
      </c>
      <c r="R102" s="4" t="s">
        <v>52</v>
      </c>
      <c r="S102">
        <v>12500</v>
      </c>
      <c r="T102">
        <f>(Tableau2[[#This Row],[PROD TOTALE/KG]]+Tableau2[[#This Row],[ PROD SURFACE (en Kg) ?]])/Tableau2[[#This Row],[SUP/HA]]</f>
        <v>2</v>
      </c>
    </row>
    <row r="103" spans="1:20" x14ac:dyDescent="0.35">
      <c r="A103" t="s">
        <v>102</v>
      </c>
      <c r="B103" s="3">
        <v>11</v>
      </c>
      <c r="D103" t="s">
        <v>47</v>
      </c>
      <c r="E103" s="4" t="s">
        <v>56</v>
      </c>
      <c r="F103">
        <v>0.25</v>
      </c>
      <c r="G103" s="4" t="s">
        <v>34</v>
      </c>
      <c r="H103">
        <v>1</v>
      </c>
      <c r="I103">
        <v>0</v>
      </c>
      <c r="J103">
        <f>Tableau2[[#This Row],[PROD TOTALE/KG]]+Tableau2[[#This Row],[ PROD SURFACE (en Kg) ?]]</f>
        <v>3000</v>
      </c>
      <c r="K103">
        <v>3000</v>
      </c>
      <c r="N103" s="4" t="s">
        <v>25</v>
      </c>
      <c r="O103" s="4" t="s">
        <v>49</v>
      </c>
      <c r="P103" s="4" t="s">
        <v>39</v>
      </c>
      <c r="S103">
        <v>60000</v>
      </c>
      <c r="T103">
        <f>(Tableau2[[#This Row],[PROD TOTALE/KG]]+Tableau2[[#This Row],[ PROD SURFACE (en Kg) ?]])/Tableau2[[#This Row],[SUP/HA]]</f>
        <v>12000</v>
      </c>
    </row>
    <row r="104" spans="1:20" x14ac:dyDescent="0.35">
      <c r="A104" t="s">
        <v>102</v>
      </c>
      <c r="B104" s="3">
        <v>1</v>
      </c>
      <c r="D104" t="s">
        <v>47</v>
      </c>
      <c r="E104" s="4" t="s">
        <v>54</v>
      </c>
      <c r="F104">
        <v>1</v>
      </c>
      <c r="G104" s="4" t="s">
        <v>24</v>
      </c>
      <c r="H104">
        <v>0</v>
      </c>
      <c r="I104">
        <v>1</v>
      </c>
      <c r="J104">
        <f>Tableau2[[#This Row],[PROD TOTALE/KG]]+Tableau2[[#This Row],[ PROD SURFACE (en Kg) ?]]</f>
        <v>3000</v>
      </c>
      <c r="L104">
        <v>5000</v>
      </c>
      <c r="M104">
        <v>3000</v>
      </c>
      <c r="N104" s="4" t="s">
        <v>25</v>
      </c>
      <c r="O104" s="4" t="s">
        <v>49</v>
      </c>
      <c r="P104" s="4" t="s">
        <v>39</v>
      </c>
      <c r="S104">
        <v>500000</v>
      </c>
      <c r="T104">
        <f>(Tableau2[[#This Row],[PROD TOTALE/KG]]+Tableau2[[#This Row],[ PROD SURFACE (en Kg) ?]])/Tableau2[[#This Row],[SUP/HA]]</f>
        <v>3000</v>
      </c>
    </row>
    <row r="105" spans="1:20" x14ac:dyDescent="0.35">
      <c r="A105" t="s">
        <v>103</v>
      </c>
      <c r="B105" s="3">
        <v>2</v>
      </c>
      <c r="C105" s="4" t="s">
        <v>21</v>
      </c>
      <c r="D105" s="4" t="s">
        <v>47</v>
      </c>
      <c r="E105" s="4" t="s">
        <v>45</v>
      </c>
      <c r="F105">
        <v>0.5</v>
      </c>
      <c r="G105" s="4" t="s">
        <v>34</v>
      </c>
      <c r="H105">
        <v>1</v>
      </c>
      <c r="I105">
        <v>0</v>
      </c>
      <c r="J105">
        <f>Tableau2[[#This Row],[PROD TOTALE/KG]]+Tableau2[[#This Row],[ PROD SURFACE (en Kg) ?]]</f>
        <v>3600</v>
      </c>
      <c r="K105">
        <v>3600</v>
      </c>
      <c r="N105" s="4" t="s">
        <v>25</v>
      </c>
      <c r="O105" s="4" t="s">
        <v>35</v>
      </c>
      <c r="P105" s="4" t="s">
        <v>27</v>
      </c>
      <c r="Q105" s="4" t="s">
        <v>28</v>
      </c>
      <c r="R105" s="4" t="s">
        <v>29</v>
      </c>
      <c r="S105">
        <v>300000</v>
      </c>
      <c r="T105">
        <f>(Tableau2[[#This Row],[PROD TOTALE/KG]]+Tableau2[[#This Row],[ PROD SURFACE (en Kg) ?]])/Tableau2[[#This Row],[SUP/HA]]</f>
        <v>7200</v>
      </c>
    </row>
    <row r="106" spans="1:20" x14ac:dyDescent="0.35">
      <c r="A106" t="s">
        <v>103</v>
      </c>
      <c r="B106" s="3">
        <v>3</v>
      </c>
      <c r="D106" s="4" t="s">
        <v>47</v>
      </c>
      <c r="E106" s="4" t="s">
        <v>56</v>
      </c>
      <c r="F106">
        <v>0.25</v>
      </c>
      <c r="G106" s="4" t="s">
        <v>34</v>
      </c>
      <c r="H106">
        <v>1</v>
      </c>
      <c r="I106">
        <v>0</v>
      </c>
      <c r="J106">
        <f>Tableau2[[#This Row],[PROD TOTALE/KG]]+Tableau2[[#This Row],[ PROD SURFACE (en Kg) ?]]</f>
        <v>1000</v>
      </c>
      <c r="K106">
        <v>1000</v>
      </c>
      <c r="N106" s="4" t="s">
        <v>25</v>
      </c>
      <c r="O106" s="4" t="s">
        <v>35</v>
      </c>
      <c r="P106" s="4" t="s">
        <v>39</v>
      </c>
      <c r="S106">
        <v>55000</v>
      </c>
      <c r="T106">
        <f>(Tableau2[[#This Row],[PROD TOTALE/KG]]+Tableau2[[#This Row],[ PROD SURFACE (en Kg) ?]])/Tableau2[[#This Row],[SUP/HA]]</f>
        <v>4000</v>
      </c>
    </row>
    <row r="107" spans="1:20" x14ac:dyDescent="0.35">
      <c r="A107" t="s">
        <v>104</v>
      </c>
      <c r="B107" s="3">
        <v>4</v>
      </c>
      <c r="C107" s="4" t="s">
        <v>21</v>
      </c>
      <c r="D107" s="4" t="s">
        <v>47</v>
      </c>
      <c r="E107" s="4" t="s">
        <v>54</v>
      </c>
      <c r="F107">
        <v>1</v>
      </c>
      <c r="G107" s="4" t="s">
        <v>34</v>
      </c>
      <c r="H107">
        <v>1</v>
      </c>
      <c r="I107">
        <v>0</v>
      </c>
      <c r="J107">
        <f>Tableau2[[#This Row],[PROD TOTALE/KG]]+Tableau2[[#This Row],[ PROD SURFACE (en Kg) ?]]</f>
        <v>15000</v>
      </c>
      <c r="K107">
        <v>15000</v>
      </c>
      <c r="N107" s="4" t="s">
        <v>25</v>
      </c>
      <c r="O107" s="4" t="s">
        <v>49</v>
      </c>
      <c r="P107" s="4" t="s">
        <v>39</v>
      </c>
      <c r="S107">
        <v>1200000</v>
      </c>
      <c r="T107">
        <f>(Tableau2[[#This Row],[PROD TOTALE/KG]]+Tableau2[[#This Row],[ PROD SURFACE (en Kg) ?]])/Tableau2[[#This Row],[SUP/HA]]</f>
        <v>15000</v>
      </c>
    </row>
    <row r="108" spans="1:20" x14ac:dyDescent="0.35">
      <c r="A108" t="s">
        <v>104</v>
      </c>
      <c r="B108" s="3">
        <v>1</v>
      </c>
      <c r="D108" s="4" t="s">
        <v>47</v>
      </c>
      <c r="E108" s="4" t="s">
        <v>45</v>
      </c>
      <c r="F108">
        <v>1</v>
      </c>
      <c r="G108" s="4" t="s">
        <v>34</v>
      </c>
      <c r="H108">
        <v>1</v>
      </c>
      <c r="I108">
        <v>0</v>
      </c>
      <c r="J108">
        <f>Tableau2[[#This Row],[PROD TOTALE/KG]]+Tableau2[[#This Row],[ PROD SURFACE (en Kg) ?]]</f>
        <v>10000</v>
      </c>
      <c r="K108">
        <v>10000</v>
      </c>
      <c r="N108" s="4" t="s">
        <v>25</v>
      </c>
      <c r="O108" s="4" t="s">
        <v>49</v>
      </c>
      <c r="P108" s="4" t="s">
        <v>27</v>
      </c>
      <c r="Q108" s="4" t="s">
        <v>28</v>
      </c>
      <c r="R108" s="4" t="s">
        <v>51</v>
      </c>
      <c r="S108">
        <v>280000</v>
      </c>
      <c r="T108">
        <f>(Tableau2[[#This Row],[PROD TOTALE/KG]]+Tableau2[[#This Row],[ PROD SURFACE (en Kg) ?]])/Tableau2[[#This Row],[SUP/HA]]</f>
        <v>10000</v>
      </c>
    </row>
    <row r="109" spans="1:20" x14ac:dyDescent="0.35">
      <c r="A109" t="s">
        <v>104</v>
      </c>
      <c r="B109" s="3">
        <v>2</v>
      </c>
      <c r="D109" s="4" t="s">
        <v>47</v>
      </c>
      <c r="E109" s="4" t="s">
        <v>56</v>
      </c>
      <c r="F109">
        <v>0.12</v>
      </c>
      <c r="G109" s="4" t="s">
        <v>34</v>
      </c>
      <c r="H109">
        <v>1</v>
      </c>
      <c r="I109">
        <v>0</v>
      </c>
      <c r="J109">
        <f>Tableau2[[#This Row],[PROD TOTALE/KG]]+Tableau2[[#This Row],[ PROD SURFACE (en Kg) ?]]</f>
        <v>1500</v>
      </c>
      <c r="K109">
        <v>1500</v>
      </c>
      <c r="N109" s="4" t="s">
        <v>25</v>
      </c>
      <c r="O109" s="4" t="s">
        <v>49</v>
      </c>
      <c r="P109" s="4" t="s">
        <v>27</v>
      </c>
      <c r="Q109" s="4" t="s">
        <v>36</v>
      </c>
      <c r="S109">
        <v>60000</v>
      </c>
      <c r="T109">
        <f>(Tableau2[[#This Row],[PROD TOTALE/KG]]+Tableau2[[#This Row],[ PROD SURFACE (en Kg) ?]])/Tableau2[[#This Row],[SUP/HA]]</f>
        <v>12500</v>
      </c>
    </row>
    <row r="110" spans="1:20" x14ac:dyDescent="0.35">
      <c r="A110" t="s">
        <v>104</v>
      </c>
      <c r="B110" s="3">
        <v>3</v>
      </c>
      <c r="D110" s="4" t="s">
        <v>47</v>
      </c>
      <c r="E110" s="4" t="s">
        <v>93</v>
      </c>
      <c r="F110">
        <v>0.125</v>
      </c>
      <c r="G110" s="4" t="s">
        <v>34</v>
      </c>
      <c r="H110">
        <v>1</v>
      </c>
      <c r="I110">
        <v>0</v>
      </c>
      <c r="J110">
        <f>Tableau2[[#This Row],[PROD TOTALE/KG]]+Tableau2[[#This Row],[ PROD SURFACE (en Kg) ?]]</f>
        <v>2400</v>
      </c>
      <c r="K110">
        <v>2400</v>
      </c>
      <c r="N110" s="4" t="s">
        <v>25</v>
      </c>
      <c r="O110" s="4" t="s">
        <v>49</v>
      </c>
      <c r="P110" s="4" t="s">
        <v>27</v>
      </c>
      <c r="Q110" s="4" t="s">
        <v>36</v>
      </c>
      <c r="S110">
        <v>45000</v>
      </c>
      <c r="T110">
        <f>(Tableau2[[#This Row],[PROD TOTALE/KG]]+Tableau2[[#This Row],[ PROD SURFACE (en Kg) ?]])/Tableau2[[#This Row],[SUP/HA]]</f>
        <v>19200</v>
      </c>
    </row>
    <row r="111" spans="1:20" x14ac:dyDescent="0.35">
      <c r="A111" t="s">
        <v>104</v>
      </c>
      <c r="B111" s="3">
        <v>4</v>
      </c>
      <c r="D111" s="4" t="s">
        <v>47</v>
      </c>
      <c r="E111" s="4" t="s">
        <v>33</v>
      </c>
      <c r="F111">
        <v>0.25</v>
      </c>
      <c r="G111" s="4" t="s">
        <v>34</v>
      </c>
      <c r="H111">
        <v>1</v>
      </c>
      <c r="I111">
        <v>0</v>
      </c>
      <c r="J111">
        <f>Tableau2[[#This Row],[PROD TOTALE/KG]]+Tableau2[[#This Row],[ PROD SURFACE (en Kg) ?]]</f>
        <v>1800</v>
      </c>
      <c r="K111">
        <v>1800</v>
      </c>
      <c r="N111" s="4" t="s">
        <v>25</v>
      </c>
      <c r="O111" s="4" t="s">
        <v>49</v>
      </c>
      <c r="P111" s="4" t="s">
        <v>39</v>
      </c>
      <c r="S111">
        <v>190000</v>
      </c>
      <c r="T111">
        <f>(Tableau2[[#This Row],[PROD TOTALE/KG]]+Tableau2[[#This Row],[ PROD SURFACE (en Kg) ?]])/Tableau2[[#This Row],[SUP/HA]]</f>
        <v>7200</v>
      </c>
    </row>
    <row r="112" spans="1:20" x14ac:dyDescent="0.35">
      <c r="A112" t="s">
        <v>104</v>
      </c>
      <c r="B112" s="3">
        <v>1</v>
      </c>
      <c r="D112" s="4" t="s">
        <v>47</v>
      </c>
      <c r="E112" s="4" t="s">
        <v>48</v>
      </c>
      <c r="F112">
        <v>0.25</v>
      </c>
      <c r="G112" s="4" t="s">
        <v>34</v>
      </c>
      <c r="H112">
        <v>1</v>
      </c>
      <c r="I112">
        <v>0</v>
      </c>
      <c r="J112">
        <f>Tableau2[[#This Row],[PROD TOTALE/KG]]+Tableau2[[#This Row],[ PROD SURFACE (en Kg) ?]]</f>
        <v>2000</v>
      </c>
      <c r="K112">
        <v>2000</v>
      </c>
      <c r="N112" s="4" t="s">
        <v>25</v>
      </c>
      <c r="O112" s="4" t="s">
        <v>49</v>
      </c>
      <c r="P112" s="4" t="s">
        <v>27</v>
      </c>
      <c r="Q112" s="4" t="s">
        <v>28</v>
      </c>
      <c r="R112" s="4" t="s">
        <v>51</v>
      </c>
      <c r="S112">
        <v>240000</v>
      </c>
      <c r="T112">
        <f>(Tableau2[[#This Row],[PROD TOTALE/KG]]+Tableau2[[#This Row],[ PROD SURFACE (en Kg) ?]])/Tableau2[[#This Row],[SUP/HA]]</f>
        <v>8000</v>
      </c>
    </row>
    <row r="113" spans="1:20" x14ac:dyDescent="0.35">
      <c r="A113" t="s">
        <v>104</v>
      </c>
      <c r="B113" s="3">
        <v>2</v>
      </c>
      <c r="D113" s="4" t="s">
        <v>47</v>
      </c>
      <c r="E113" s="4" t="s">
        <v>23</v>
      </c>
      <c r="F113">
        <v>0.125</v>
      </c>
      <c r="G113" s="4" t="s">
        <v>34</v>
      </c>
      <c r="H113">
        <v>1</v>
      </c>
      <c r="I113">
        <v>0</v>
      </c>
      <c r="J113">
        <f>Tableau2[[#This Row],[PROD TOTALE/KG]]+Tableau2[[#This Row],[ PROD SURFACE (en Kg) ?]]</f>
        <v>1900</v>
      </c>
      <c r="K113">
        <v>1900</v>
      </c>
      <c r="N113" s="4" t="s">
        <v>66</v>
      </c>
      <c r="P113" s="4" t="s">
        <v>39</v>
      </c>
      <c r="S113">
        <v>120000</v>
      </c>
      <c r="T113">
        <f>(Tableau2[[#This Row],[PROD TOTALE/KG]]+Tableau2[[#This Row],[ PROD SURFACE (en Kg) ?]])/Tableau2[[#This Row],[SUP/HA]]</f>
        <v>15200</v>
      </c>
    </row>
    <row r="114" spans="1:20" x14ac:dyDescent="0.35">
      <c r="A114" t="s">
        <v>104</v>
      </c>
      <c r="B114" s="3">
        <v>3</v>
      </c>
      <c r="D114" s="4" t="s">
        <v>47</v>
      </c>
      <c r="E114" s="4" t="s">
        <v>58</v>
      </c>
      <c r="F114">
        <v>0.5</v>
      </c>
      <c r="G114" s="4" t="s">
        <v>34</v>
      </c>
      <c r="H114">
        <v>1</v>
      </c>
      <c r="I114">
        <v>0</v>
      </c>
      <c r="J114">
        <f>Tableau2[[#This Row],[PROD TOTALE/KG]]+Tableau2[[#This Row],[ PROD SURFACE (en Kg) ?]]</f>
        <v>4500</v>
      </c>
      <c r="K114">
        <v>4500</v>
      </c>
      <c r="N114" s="4" t="s">
        <v>25</v>
      </c>
      <c r="O114" s="4" t="s">
        <v>49</v>
      </c>
      <c r="P114" s="4" t="s">
        <v>39</v>
      </c>
      <c r="S114">
        <v>2000000</v>
      </c>
      <c r="T114">
        <f>(Tableau2[[#This Row],[PROD TOTALE/KG]]+Tableau2[[#This Row],[ PROD SURFACE (en Kg) ?]])/Tableau2[[#This Row],[SUP/HA]]</f>
        <v>9000</v>
      </c>
    </row>
    <row r="115" spans="1:20" x14ac:dyDescent="0.35">
      <c r="A115" t="s">
        <v>104</v>
      </c>
      <c r="B115" s="3">
        <v>4</v>
      </c>
      <c r="D115" s="4" t="s">
        <v>47</v>
      </c>
      <c r="E115" s="4" t="s">
        <v>77</v>
      </c>
      <c r="F115">
        <v>0.1</v>
      </c>
      <c r="G115" s="4" t="s">
        <v>34</v>
      </c>
      <c r="H115">
        <v>1</v>
      </c>
      <c r="I115">
        <v>0</v>
      </c>
      <c r="J115">
        <f>Tableau2[[#This Row],[PROD TOTALE/KG]]+Tableau2[[#This Row],[ PROD SURFACE (en Kg) ?]]</f>
        <v>20</v>
      </c>
      <c r="K115">
        <v>20</v>
      </c>
      <c r="N115" s="4" t="s">
        <v>25</v>
      </c>
      <c r="O115" s="4" t="s">
        <v>49</v>
      </c>
      <c r="P115" s="4" t="s">
        <v>39</v>
      </c>
      <c r="S115">
        <v>20000</v>
      </c>
      <c r="T115">
        <f>(Tableau2[[#This Row],[PROD TOTALE/KG]]+Tableau2[[#This Row],[ PROD SURFACE (en Kg) ?]])/Tableau2[[#This Row],[SUP/HA]]</f>
        <v>200</v>
      </c>
    </row>
    <row r="116" spans="1:20" x14ac:dyDescent="0.35">
      <c r="A116" t="s">
        <v>105</v>
      </c>
      <c r="B116" s="3">
        <v>5</v>
      </c>
      <c r="C116" s="4" t="s">
        <v>21</v>
      </c>
      <c r="D116" s="4" t="s">
        <v>47</v>
      </c>
      <c r="E116" s="4" t="s">
        <v>58</v>
      </c>
      <c r="F116">
        <v>1</v>
      </c>
      <c r="G116" s="4" t="s">
        <v>24</v>
      </c>
      <c r="H116">
        <v>0</v>
      </c>
      <c r="I116">
        <v>1</v>
      </c>
      <c r="J116">
        <f>Tableau2[[#This Row],[PROD TOTALE/KG]]+Tableau2[[#This Row],[ PROD SURFACE (en Kg) ?]]</f>
        <v>1800</v>
      </c>
      <c r="L116">
        <v>5000</v>
      </c>
      <c r="M116">
        <v>1800</v>
      </c>
      <c r="N116" s="4" t="s">
        <v>25</v>
      </c>
      <c r="O116" s="4" t="s">
        <v>49</v>
      </c>
      <c r="P116" s="4" t="s">
        <v>27</v>
      </c>
      <c r="Q116" s="4" t="s">
        <v>36</v>
      </c>
      <c r="S116">
        <v>250000</v>
      </c>
      <c r="T116">
        <f>(Tableau2[[#This Row],[PROD TOTALE/KG]]+Tableau2[[#This Row],[ PROD SURFACE (en Kg) ?]])/Tableau2[[#This Row],[SUP/HA]]</f>
        <v>1800</v>
      </c>
    </row>
    <row r="117" spans="1:20" x14ac:dyDescent="0.35">
      <c r="A117" t="s">
        <v>105</v>
      </c>
      <c r="B117" s="3">
        <v>6</v>
      </c>
      <c r="D117" s="4" t="s">
        <v>47</v>
      </c>
      <c r="E117" s="4" t="s">
        <v>56</v>
      </c>
      <c r="F117">
        <v>0.5</v>
      </c>
      <c r="G117" s="4" t="s">
        <v>34</v>
      </c>
      <c r="H117">
        <v>1</v>
      </c>
      <c r="I117">
        <v>0</v>
      </c>
      <c r="J117">
        <f>Tableau2[[#This Row],[PROD TOTALE/KG]]+Tableau2[[#This Row],[ PROD SURFACE (en Kg) ?]]</f>
        <v>900</v>
      </c>
      <c r="K117">
        <v>900</v>
      </c>
      <c r="N117" s="4" t="s">
        <v>25</v>
      </c>
      <c r="O117" s="4" t="s">
        <v>49</v>
      </c>
      <c r="P117" s="4" t="s">
        <v>39</v>
      </c>
      <c r="S117">
        <v>45000</v>
      </c>
      <c r="T117">
        <f>(Tableau2[[#This Row],[PROD TOTALE/KG]]+Tableau2[[#This Row],[ PROD SURFACE (en Kg) ?]])/Tableau2[[#This Row],[SUP/HA]]</f>
        <v>1800</v>
      </c>
    </row>
    <row r="118" spans="1:20" x14ac:dyDescent="0.35">
      <c r="A118" t="s">
        <v>105</v>
      </c>
      <c r="B118" s="3">
        <v>1</v>
      </c>
      <c r="D118" s="4" t="s">
        <v>47</v>
      </c>
      <c r="E118" s="4" t="s">
        <v>54</v>
      </c>
      <c r="F118">
        <v>1</v>
      </c>
      <c r="G118" s="4" t="s">
        <v>34</v>
      </c>
      <c r="H118">
        <v>1</v>
      </c>
      <c r="I118">
        <v>0</v>
      </c>
      <c r="J118">
        <f>Tableau2[[#This Row],[PROD TOTALE/KG]]+Tableau2[[#This Row],[ PROD SURFACE (en Kg) ?]]</f>
        <v>2000</v>
      </c>
      <c r="K118">
        <v>2000</v>
      </c>
      <c r="N118" s="4" t="s">
        <v>66</v>
      </c>
      <c r="P118" s="4" t="s">
        <v>27</v>
      </c>
      <c r="Q118" s="4" t="s">
        <v>28</v>
      </c>
      <c r="R118" s="4" t="s">
        <v>29</v>
      </c>
      <c r="S118">
        <v>110000</v>
      </c>
      <c r="T118">
        <f>(Tableau2[[#This Row],[PROD TOTALE/KG]]+Tableau2[[#This Row],[ PROD SURFACE (en Kg) ?]])/Tableau2[[#This Row],[SUP/HA]]</f>
        <v>2000</v>
      </c>
    </row>
    <row r="119" spans="1:20" x14ac:dyDescent="0.35">
      <c r="A119" t="s">
        <v>106</v>
      </c>
      <c r="B119" s="3">
        <v>2</v>
      </c>
      <c r="C119" s="4" t="s">
        <v>31</v>
      </c>
      <c r="D119" s="4" t="s">
        <v>32</v>
      </c>
      <c r="E119" s="4" t="s">
        <v>33</v>
      </c>
      <c r="F119">
        <v>1</v>
      </c>
      <c r="G119" s="4" t="s">
        <v>24</v>
      </c>
      <c r="H119">
        <v>0</v>
      </c>
      <c r="I119">
        <v>1</v>
      </c>
      <c r="J119">
        <f>Tableau2[[#This Row],[PROD TOTALE/KG]]+Tableau2[[#This Row],[ PROD SURFACE (en Kg) ?]]</f>
        <v>3</v>
      </c>
      <c r="L119">
        <v>20</v>
      </c>
      <c r="M119">
        <v>3</v>
      </c>
      <c r="N119" s="4" t="s">
        <v>25</v>
      </c>
      <c r="O119" s="4" t="s">
        <v>35</v>
      </c>
      <c r="P119" s="4" t="s">
        <v>39</v>
      </c>
      <c r="S119">
        <v>20000</v>
      </c>
      <c r="T119">
        <f>(Tableau2[[#This Row],[PROD TOTALE/KG]]+Tableau2[[#This Row],[ PROD SURFACE (en Kg) ?]])/Tableau2[[#This Row],[SUP/HA]]</f>
        <v>3</v>
      </c>
    </row>
    <row r="120" spans="1:20" x14ac:dyDescent="0.35">
      <c r="A120" t="s">
        <v>106</v>
      </c>
      <c r="B120" s="3">
        <v>3</v>
      </c>
      <c r="D120" s="4" t="s">
        <v>32</v>
      </c>
      <c r="E120" s="4" t="s">
        <v>45</v>
      </c>
      <c r="F120">
        <v>1</v>
      </c>
      <c r="G120" s="4" t="s">
        <v>24</v>
      </c>
      <c r="H120">
        <v>0</v>
      </c>
      <c r="I120">
        <v>1</v>
      </c>
      <c r="J120">
        <f>Tableau2[[#This Row],[PROD TOTALE/KG]]+Tableau2[[#This Row],[ PROD SURFACE (en Kg) ?]]</f>
        <v>1500</v>
      </c>
      <c r="L120">
        <v>250</v>
      </c>
      <c r="M120">
        <v>1500</v>
      </c>
      <c r="N120" s="4" t="s">
        <v>25</v>
      </c>
      <c r="O120" s="4" t="s">
        <v>49</v>
      </c>
      <c r="P120" s="4" t="s">
        <v>39</v>
      </c>
      <c r="S120">
        <v>12000</v>
      </c>
      <c r="T120">
        <f>(Tableau2[[#This Row],[PROD TOTALE/KG]]+Tableau2[[#This Row],[ PROD SURFACE (en Kg) ?]])/Tableau2[[#This Row],[SUP/HA]]</f>
        <v>1500</v>
      </c>
    </row>
    <row r="121" spans="1:20" x14ac:dyDescent="0.35">
      <c r="A121" t="s">
        <v>106</v>
      </c>
      <c r="B121" s="3">
        <v>4</v>
      </c>
      <c r="D121" s="4" t="s">
        <v>32</v>
      </c>
      <c r="E121" s="4" t="s">
        <v>56</v>
      </c>
      <c r="F121">
        <v>1</v>
      </c>
      <c r="G121" s="4" t="s">
        <v>24</v>
      </c>
      <c r="H121">
        <v>0</v>
      </c>
      <c r="I121">
        <v>1</v>
      </c>
      <c r="J121">
        <f>Tableau2[[#This Row],[PROD TOTALE/KG]]+Tableau2[[#This Row],[ PROD SURFACE (en Kg) ?]]</f>
        <v>7</v>
      </c>
      <c r="L121">
        <v>10</v>
      </c>
      <c r="M121">
        <v>7</v>
      </c>
      <c r="N121" s="4" t="s">
        <v>25</v>
      </c>
      <c r="O121" s="4" t="s">
        <v>49</v>
      </c>
      <c r="P121" s="4" t="s">
        <v>39</v>
      </c>
      <c r="S121">
        <v>10000</v>
      </c>
      <c r="T121">
        <f>(Tableau2[[#This Row],[PROD TOTALE/KG]]+Tableau2[[#This Row],[ PROD SURFACE (en Kg) ?]])/Tableau2[[#This Row],[SUP/HA]]</f>
        <v>7</v>
      </c>
    </row>
    <row r="122" spans="1:20" x14ac:dyDescent="0.35">
      <c r="A122" t="s">
        <v>106</v>
      </c>
      <c r="B122" s="3">
        <v>1</v>
      </c>
      <c r="D122" s="4" t="s">
        <v>32</v>
      </c>
      <c r="E122" s="4" t="s">
        <v>59</v>
      </c>
      <c r="F122">
        <v>1</v>
      </c>
      <c r="G122" s="4" t="s">
        <v>24</v>
      </c>
      <c r="H122">
        <v>0</v>
      </c>
      <c r="I122">
        <v>1</v>
      </c>
      <c r="J122">
        <f>Tableau2[[#This Row],[PROD TOTALE/KG]]+Tableau2[[#This Row],[ PROD SURFACE (en Kg) ?]]</f>
        <v>10</v>
      </c>
      <c r="L122">
        <v>10</v>
      </c>
      <c r="M122">
        <v>10</v>
      </c>
      <c r="N122" s="4" t="s">
        <v>25</v>
      </c>
      <c r="O122" s="4" t="s">
        <v>49</v>
      </c>
      <c r="P122" s="4" t="s">
        <v>39</v>
      </c>
      <c r="S122">
        <v>15000</v>
      </c>
      <c r="T122">
        <f>(Tableau2[[#This Row],[PROD TOTALE/KG]]+Tableau2[[#This Row],[ PROD SURFACE (en Kg) ?]])/Tableau2[[#This Row],[SUP/HA]]</f>
        <v>10</v>
      </c>
    </row>
    <row r="123" spans="1:20" x14ac:dyDescent="0.35">
      <c r="A123" t="s">
        <v>106</v>
      </c>
      <c r="B123" s="3">
        <v>2</v>
      </c>
      <c r="D123" s="4" t="s">
        <v>32</v>
      </c>
      <c r="E123" s="4" t="s">
        <v>42</v>
      </c>
      <c r="F123">
        <v>1</v>
      </c>
      <c r="G123" s="4" t="s">
        <v>24</v>
      </c>
      <c r="H123">
        <v>0</v>
      </c>
      <c r="I123">
        <v>1</v>
      </c>
      <c r="J123">
        <f>Tableau2[[#This Row],[PROD TOTALE/KG]]+Tableau2[[#This Row],[ PROD SURFACE (en Kg) ?]]</f>
        <v>15</v>
      </c>
      <c r="L123">
        <v>30</v>
      </c>
      <c r="M123">
        <v>15</v>
      </c>
      <c r="N123" s="4" t="s">
        <v>25</v>
      </c>
      <c r="O123" s="4" t="s">
        <v>49</v>
      </c>
      <c r="P123" s="4" t="s">
        <v>39</v>
      </c>
      <c r="S123">
        <v>30000</v>
      </c>
      <c r="T123">
        <f>(Tableau2[[#This Row],[PROD TOTALE/KG]]+Tableau2[[#This Row],[ PROD SURFACE (en Kg) ?]])/Tableau2[[#This Row],[SUP/HA]]</f>
        <v>15</v>
      </c>
    </row>
    <row r="124" spans="1:20" x14ac:dyDescent="0.35">
      <c r="A124" t="s">
        <v>107</v>
      </c>
      <c r="B124" s="3">
        <v>3</v>
      </c>
      <c r="C124" s="4" t="s">
        <v>31</v>
      </c>
      <c r="D124" s="4" t="s">
        <v>32</v>
      </c>
      <c r="E124" s="4" t="s">
        <v>45</v>
      </c>
      <c r="F124">
        <v>0.75</v>
      </c>
      <c r="G124" s="4" t="s">
        <v>24</v>
      </c>
      <c r="H124">
        <v>0</v>
      </c>
      <c r="I124">
        <v>1</v>
      </c>
      <c r="J124">
        <f>Tableau2[[#This Row],[PROD TOTALE/KG]]+Tableau2[[#This Row],[ PROD SURFACE (en Kg) ?]]</f>
        <v>2500</v>
      </c>
      <c r="L124">
        <v>800</v>
      </c>
      <c r="M124">
        <v>2500</v>
      </c>
      <c r="N124" s="4" t="s">
        <v>25</v>
      </c>
      <c r="O124" s="4" t="s">
        <v>35</v>
      </c>
      <c r="P124" s="4" t="s">
        <v>27</v>
      </c>
      <c r="Q124" s="4" t="s">
        <v>28</v>
      </c>
      <c r="R124" s="4" t="s">
        <v>52</v>
      </c>
      <c r="S124">
        <v>75000</v>
      </c>
      <c r="T124">
        <f>(Tableau2[[#This Row],[PROD TOTALE/KG]]+Tableau2[[#This Row],[ PROD SURFACE (en Kg) ?]])/Tableau2[[#This Row],[SUP/HA]]</f>
        <v>3333.3333333333335</v>
      </c>
    </row>
    <row r="125" spans="1:20" x14ac:dyDescent="0.35">
      <c r="A125" t="s">
        <v>107</v>
      </c>
      <c r="B125" s="3">
        <v>1</v>
      </c>
      <c r="D125" s="4" t="s">
        <v>32</v>
      </c>
      <c r="E125" s="4" t="s">
        <v>56</v>
      </c>
      <c r="F125">
        <v>0.75</v>
      </c>
      <c r="G125" s="4" t="s">
        <v>24</v>
      </c>
      <c r="H125">
        <v>0</v>
      </c>
      <c r="I125">
        <v>1</v>
      </c>
      <c r="J125">
        <f>Tableau2[[#This Row],[PROD TOTALE/KG]]+Tableau2[[#This Row],[ PROD SURFACE (en Kg) ?]]</f>
        <v>2</v>
      </c>
      <c r="L125">
        <v>50</v>
      </c>
      <c r="M125">
        <v>2</v>
      </c>
      <c r="N125" s="4" t="s">
        <v>25</v>
      </c>
      <c r="O125" s="4" t="s">
        <v>35</v>
      </c>
      <c r="P125" s="4" t="s">
        <v>27</v>
      </c>
      <c r="Q125" s="4" t="s">
        <v>28</v>
      </c>
      <c r="R125" s="4" t="s">
        <v>52</v>
      </c>
      <c r="S125">
        <v>10000</v>
      </c>
      <c r="T125">
        <f>(Tableau2[[#This Row],[PROD TOTALE/KG]]+Tableau2[[#This Row],[ PROD SURFACE (en Kg) ?]])/Tableau2[[#This Row],[SUP/HA]]</f>
        <v>2.6666666666666665</v>
      </c>
    </row>
    <row r="126" spans="1:20" x14ac:dyDescent="0.35">
      <c r="A126" t="s">
        <v>107</v>
      </c>
      <c r="B126" s="3">
        <v>2</v>
      </c>
      <c r="D126" s="4" t="s">
        <v>32</v>
      </c>
      <c r="E126" s="4" t="s">
        <v>33</v>
      </c>
      <c r="F126">
        <v>0.75</v>
      </c>
      <c r="G126" s="4" t="s">
        <v>24</v>
      </c>
      <c r="H126">
        <v>0</v>
      </c>
      <c r="I126">
        <v>1</v>
      </c>
      <c r="J126">
        <f>Tableau2[[#This Row],[PROD TOTALE/KG]]+Tableau2[[#This Row],[ PROD SURFACE (en Kg) ?]]</f>
        <v>3</v>
      </c>
      <c r="L126">
        <v>40</v>
      </c>
      <c r="M126">
        <v>3</v>
      </c>
      <c r="N126" s="4" t="s">
        <v>25</v>
      </c>
      <c r="O126" s="4" t="s">
        <v>49</v>
      </c>
      <c r="P126" s="4" t="s">
        <v>39</v>
      </c>
      <c r="S126">
        <v>5000</v>
      </c>
      <c r="T126">
        <f>(Tableau2[[#This Row],[PROD TOTALE/KG]]+Tableau2[[#This Row],[ PROD SURFACE (en Kg) ?]])/Tableau2[[#This Row],[SUP/HA]]</f>
        <v>4</v>
      </c>
    </row>
    <row r="127" spans="1:20" x14ac:dyDescent="0.35">
      <c r="A127" t="s">
        <v>108</v>
      </c>
      <c r="B127" s="3">
        <v>3</v>
      </c>
      <c r="C127" s="4" t="s">
        <v>21</v>
      </c>
      <c r="D127" s="4" t="s">
        <v>47</v>
      </c>
      <c r="E127" s="4" t="s">
        <v>56</v>
      </c>
      <c r="F127">
        <v>0.5</v>
      </c>
      <c r="G127" s="4" t="s">
        <v>34</v>
      </c>
      <c r="H127">
        <v>1</v>
      </c>
      <c r="I127">
        <v>0</v>
      </c>
      <c r="J127">
        <f>Tableau2[[#This Row],[PROD TOTALE/KG]]+Tableau2[[#This Row],[ PROD SURFACE (en Kg) ?]]</f>
        <v>5000</v>
      </c>
      <c r="K127">
        <v>5000</v>
      </c>
      <c r="N127" s="4" t="s">
        <v>25</v>
      </c>
      <c r="O127" s="4" t="s">
        <v>49</v>
      </c>
      <c r="P127" s="4" t="s">
        <v>27</v>
      </c>
      <c r="Q127" s="4" t="s">
        <v>36</v>
      </c>
      <c r="S127">
        <v>50000</v>
      </c>
      <c r="T127">
        <f>(Tableau2[[#This Row],[PROD TOTALE/KG]]+Tableau2[[#This Row],[ PROD SURFACE (en Kg) ?]])/Tableau2[[#This Row],[SUP/HA]]</f>
        <v>10000</v>
      </c>
    </row>
    <row r="128" spans="1:20" x14ac:dyDescent="0.35">
      <c r="A128" t="s">
        <v>108</v>
      </c>
      <c r="B128" s="3">
        <v>1</v>
      </c>
      <c r="D128" s="4" t="s">
        <v>47</v>
      </c>
      <c r="E128" s="4" t="s">
        <v>45</v>
      </c>
      <c r="F128">
        <v>0.5</v>
      </c>
      <c r="G128" s="4" t="s">
        <v>24</v>
      </c>
      <c r="H128">
        <v>0</v>
      </c>
      <c r="I128">
        <v>1</v>
      </c>
      <c r="J128">
        <f>Tableau2[[#This Row],[PROD TOTALE/KG]]+Tableau2[[#This Row],[ PROD SURFACE (en Kg) ?]]</f>
        <v>12000</v>
      </c>
      <c r="L128">
        <v>2500</v>
      </c>
      <c r="M128">
        <v>12000</v>
      </c>
      <c r="N128" s="4" t="s">
        <v>25</v>
      </c>
      <c r="O128" s="4" t="s">
        <v>49</v>
      </c>
      <c r="P128" s="4" t="s">
        <v>39</v>
      </c>
      <c r="S128">
        <v>310000</v>
      </c>
      <c r="T128">
        <f>(Tableau2[[#This Row],[PROD TOTALE/KG]]+Tableau2[[#This Row],[ PROD SURFACE (en Kg) ?]])/Tableau2[[#This Row],[SUP/HA]]</f>
        <v>24000</v>
      </c>
    </row>
    <row r="129" spans="1:20" x14ac:dyDescent="0.35">
      <c r="A129" t="s">
        <v>108</v>
      </c>
      <c r="B129" s="3">
        <v>2</v>
      </c>
      <c r="D129" s="4" t="s">
        <v>47</v>
      </c>
      <c r="E129" s="4" t="s">
        <v>54</v>
      </c>
      <c r="F129">
        <v>1</v>
      </c>
      <c r="G129" s="4" t="s">
        <v>34</v>
      </c>
      <c r="H129">
        <v>1</v>
      </c>
      <c r="I129">
        <v>0</v>
      </c>
      <c r="J129">
        <f>Tableau2[[#This Row],[PROD TOTALE/KG]]+Tableau2[[#This Row],[ PROD SURFACE (en Kg) ?]]</f>
        <v>20000</v>
      </c>
      <c r="K129">
        <v>20000</v>
      </c>
      <c r="N129" s="4" t="s">
        <v>25</v>
      </c>
      <c r="O129" s="4" t="s">
        <v>49</v>
      </c>
      <c r="P129" s="4" t="s">
        <v>27</v>
      </c>
      <c r="Q129" s="4" t="s">
        <v>28</v>
      </c>
      <c r="R129" s="4" t="s">
        <v>29</v>
      </c>
      <c r="S129">
        <v>400000</v>
      </c>
      <c r="T129">
        <f>(Tableau2[[#This Row],[PROD TOTALE/KG]]+Tableau2[[#This Row],[ PROD SURFACE (en Kg) ?]])/Tableau2[[#This Row],[SUP/HA]]</f>
        <v>20000</v>
      </c>
    </row>
    <row r="130" spans="1:20" x14ac:dyDescent="0.35">
      <c r="A130" t="s">
        <v>109</v>
      </c>
      <c r="B130" s="3">
        <v>3</v>
      </c>
      <c r="C130" s="4" t="s">
        <v>21</v>
      </c>
      <c r="D130" s="4" t="s">
        <v>47</v>
      </c>
      <c r="E130" s="4" t="s">
        <v>58</v>
      </c>
      <c r="F130">
        <v>0.5</v>
      </c>
      <c r="G130" s="4" t="s">
        <v>24</v>
      </c>
      <c r="H130">
        <v>0</v>
      </c>
      <c r="I130">
        <v>1</v>
      </c>
      <c r="J130">
        <f>Tableau2[[#This Row],[PROD TOTALE/KG]]+Tableau2[[#This Row],[ PROD SURFACE (en Kg) ?]]</f>
        <v>6400</v>
      </c>
      <c r="L130">
        <v>2500</v>
      </c>
      <c r="M130">
        <v>6400</v>
      </c>
      <c r="N130" s="4" t="s">
        <v>25</v>
      </c>
      <c r="O130" s="4" t="s">
        <v>49</v>
      </c>
      <c r="P130" s="4" t="s">
        <v>39</v>
      </c>
      <c r="S130">
        <v>400000</v>
      </c>
      <c r="T130">
        <f>(Tableau2[[#This Row],[PROD TOTALE/KG]]+Tableau2[[#This Row],[ PROD SURFACE (en Kg) ?]])/Tableau2[[#This Row],[SUP/HA]]</f>
        <v>12800</v>
      </c>
    </row>
    <row r="131" spans="1:20" x14ac:dyDescent="0.35">
      <c r="A131" t="s">
        <v>109</v>
      </c>
      <c r="B131" s="3">
        <v>4</v>
      </c>
      <c r="D131" s="4" t="s">
        <v>47</v>
      </c>
      <c r="E131" s="4" t="s">
        <v>54</v>
      </c>
      <c r="F131">
        <v>1</v>
      </c>
      <c r="G131" s="4" t="s">
        <v>24</v>
      </c>
      <c r="H131">
        <v>0</v>
      </c>
      <c r="I131">
        <v>1</v>
      </c>
      <c r="J131">
        <f>Tableau2[[#This Row],[PROD TOTALE/KG]]+Tableau2[[#This Row],[ PROD SURFACE (en Kg) ?]]</f>
        <v>4000</v>
      </c>
      <c r="L131">
        <v>5000</v>
      </c>
      <c r="M131">
        <v>4000</v>
      </c>
      <c r="N131" s="4" t="s">
        <v>25</v>
      </c>
      <c r="O131" s="4" t="s">
        <v>49</v>
      </c>
      <c r="P131" s="4" t="s">
        <v>27</v>
      </c>
      <c r="Q131" s="4" t="s">
        <v>28</v>
      </c>
      <c r="R131" s="4" t="s">
        <v>51</v>
      </c>
      <c r="S131">
        <v>500000</v>
      </c>
      <c r="T131">
        <f>(Tableau2[[#This Row],[PROD TOTALE/KG]]+Tableau2[[#This Row],[ PROD SURFACE (en Kg) ?]])/Tableau2[[#This Row],[SUP/HA]]</f>
        <v>4000</v>
      </c>
    </row>
    <row r="132" spans="1:20" x14ac:dyDescent="0.35">
      <c r="A132" t="s">
        <v>109</v>
      </c>
      <c r="B132" s="3">
        <v>5</v>
      </c>
      <c r="D132" s="4" t="s">
        <v>47</v>
      </c>
      <c r="E132" s="4" t="s">
        <v>48</v>
      </c>
      <c r="F132">
        <v>0.25</v>
      </c>
      <c r="G132" s="4" t="s">
        <v>34</v>
      </c>
      <c r="H132">
        <v>1</v>
      </c>
      <c r="I132">
        <v>0</v>
      </c>
      <c r="J132">
        <f>Tableau2[[#This Row],[PROD TOTALE/KG]]+Tableau2[[#This Row],[ PROD SURFACE (en Kg) ?]]</f>
        <v>1500</v>
      </c>
      <c r="K132">
        <v>1500</v>
      </c>
      <c r="N132" s="4" t="s">
        <v>25</v>
      </c>
      <c r="O132" s="4" t="s">
        <v>49</v>
      </c>
      <c r="P132" s="4" t="s">
        <v>39</v>
      </c>
      <c r="S132">
        <v>60000</v>
      </c>
      <c r="T132">
        <f>(Tableau2[[#This Row],[PROD TOTALE/KG]]+Tableau2[[#This Row],[ PROD SURFACE (en Kg) ?]])/Tableau2[[#This Row],[SUP/HA]]</f>
        <v>6000</v>
      </c>
    </row>
    <row r="133" spans="1:20" x14ac:dyDescent="0.35">
      <c r="A133" t="s">
        <v>109</v>
      </c>
      <c r="B133" s="3">
        <v>6</v>
      </c>
      <c r="D133" s="4" t="s">
        <v>47</v>
      </c>
      <c r="E133" s="4" t="s">
        <v>42</v>
      </c>
      <c r="F133">
        <v>0.25</v>
      </c>
      <c r="G133" s="4" t="s">
        <v>34</v>
      </c>
      <c r="H133">
        <v>1</v>
      </c>
      <c r="I133">
        <v>0</v>
      </c>
      <c r="J133">
        <f>Tableau2[[#This Row],[PROD TOTALE/KG]]+Tableau2[[#This Row],[ PROD SURFACE (en Kg) ?]]</f>
        <v>2400</v>
      </c>
      <c r="K133">
        <v>2400</v>
      </c>
      <c r="N133" s="4" t="s">
        <v>25</v>
      </c>
      <c r="O133" s="4" t="s">
        <v>49</v>
      </c>
      <c r="P133" s="4" t="s">
        <v>39</v>
      </c>
      <c r="S133">
        <v>80000</v>
      </c>
      <c r="T133">
        <f>(Tableau2[[#This Row],[PROD TOTALE/KG]]+Tableau2[[#This Row],[ PROD SURFACE (en Kg) ?]])/Tableau2[[#This Row],[SUP/HA]]</f>
        <v>9600</v>
      </c>
    </row>
    <row r="134" spans="1:20" x14ac:dyDescent="0.35">
      <c r="A134" t="s">
        <v>110</v>
      </c>
      <c r="B134" s="3">
        <v>7</v>
      </c>
      <c r="C134" s="4" t="s">
        <v>21</v>
      </c>
      <c r="D134" s="4" t="s">
        <v>47</v>
      </c>
      <c r="E134" s="4" t="s">
        <v>42</v>
      </c>
      <c r="F134">
        <v>0.5</v>
      </c>
      <c r="G134" s="4" t="s">
        <v>34</v>
      </c>
      <c r="H134">
        <v>1</v>
      </c>
      <c r="I134">
        <v>0</v>
      </c>
      <c r="J134">
        <f>Tableau2[[#This Row],[PROD TOTALE/KG]]+Tableau2[[#This Row],[ PROD SURFACE (en Kg) ?]]</f>
        <v>2000</v>
      </c>
      <c r="K134">
        <v>2000</v>
      </c>
      <c r="N134" s="4" t="s">
        <v>25</v>
      </c>
      <c r="O134" s="4" t="s">
        <v>49</v>
      </c>
      <c r="P134" s="4" t="s">
        <v>27</v>
      </c>
      <c r="Q134" s="4" t="s">
        <v>36</v>
      </c>
      <c r="S134">
        <v>80000</v>
      </c>
      <c r="T134">
        <f>(Tableau2[[#This Row],[PROD TOTALE/KG]]+Tableau2[[#This Row],[ PROD SURFACE (en Kg) ?]])/Tableau2[[#This Row],[SUP/HA]]</f>
        <v>4000</v>
      </c>
    </row>
    <row r="135" spans="1:20" x14ac:dyDescent="0.35">
      <c r="A135" t="s">
        <v>110</v>
      </c>
      <c r="B135" s="3">
        <v>8</v>
      </c>
      <c r="D135" s="4" t="s">
        <v>47</v>
      </c>
      <c r="E135" s="4" t="s">
        <v>58</v>
      </c>
      <c r="F135">
        <v>0.5</v>
      </c>
      <c r="G135" s="4" t="s">
        <v>24</v>
      </c>
      <c r="H135">
        <v>0</v>
      </c>
      <c r="I135">
        <v>1</v>
      </c>
      <c r="J135">
        <f>Tableau2[[#This Row],[PROD TOTALE/KG]]+Tableau2[[#This Row],[ PROD SURFACE (en Kg) ?]]</f>
        <v>3000</v>
      </c>
      <c r="L135">
        <v>2500</v>
      </c>
      <c r="M135">
        <v>3000</v>
      </c>
      <c r="N135" s="4" t="s">
        <v>25</v>
      </c>
      <c r="O135" s="4" t="s">
        <v>49</v>
      </c>
      <c r="P135" s="4" t="s">
        <v>39</v>
      </c>
      <c r="S135">
        <v>1800000</v>
      </c>
      <c r="T135">
        <f>(Tableau2[[#This Row],[PROD TOTALE/KG]]+Tableau2[[#This Row],[ PROD SURFACE (en Kg) ?]])/Tableau2[[#This Row],[SUP/HA]]</f>
        <v>6000</v>
      </c>
    </row>
    <row r="136" spans="1:20" x14ac:dyDescent="0.35">
      <c r="A136" t="s">
        <v>111</v>
      </c>
      <c r="B136" s="3">
        <v>9</v>
      </c>
      <c r="C136" s="4" t="s">
        <v>21</v>
      </c>
      <c r="D136" s="4" t="s">
        <v>112</v>
      </c>
      <c r="E136" s="4" t="s">
        <v>33</v>
      </c>
      <c r="F136">
        <v>0.25</v>
      </c>
      <c r="G136" s="4" t="s">
        <v>24</v>
      </c>
      <c r="H136">
        <v>0</v>
      </c>
      <c r="I136">
        <v>1</v>
      </c>
      <c r="J136">
        <f>Tableau2[[#This Row],[PROD TOTALE/KG]]+Tableau2[[#This Row],[ PROD SURFACE (en Kg) ?]]</f>
        <v>900</v>
      </c>
      <c r="L136">
        <v>800</v>
      </c>
      <c r="M136">
        <v>900</v>
      </c>
      <c r="N136" s="4" t="s">
        <v>25</v>
      </c>
      <c r="O136" s="4" t="s">
        <v>35</v>
      </c>
      <c r="P136" s="4" t="s">
        <v>39</v>
      </c>
      <c r="S136">
        <v>90000</v>
      </c>
      <c r="T136">
        <f>(Tableau2[[#This Row],[PROD TOTALE/KG]]+Tableau2[[#This Row],[ PROD SURFACE (en Kg) ?]])/Tableau2[[#This Row],[SUP/HA]]</f>
        <v>3600</v>
      </c>
    </row>
    <row r="137" spans="1:20" x14ac:dyDescent="0.35">
      <c r="A137" t="s">
        <v>111</v>
      </c>
      <c r="B137" s="3">
        <v>1</v>
      </c>
      <c r="D137" s="4" t="s">
        <v>112</v>
      </c>
      <c r="E137" s="4" t="s">
        <v>42</v>
      </c>
      <c r="F137">
        <v>0.125</v>
      </c>
      <c r="G137" s="4" t="s">
        <v>24</v>
      </c>
      <c r="H137">
        <v>0</v>
      </c>
      <c r="I137">
        <v>1</v>
      </c>
      <c r="J137">
        <f>Tableau2[[#This Row],[PROD TOTALE/KG]]+Tableau2[[#This Row],[ PROD SURFACE (en Kg) ?]]</f>
        <v>800</v>
      </c>
      <c r="L137">
        <v>400</v>
      </c>
      <c r="M137">
        <v>800</v>
      </c>
      <c r="N137" s="4" t="s">
        <v>25</v>
      </c>
      <c r="O137" s="4" t="s">
        <v>35</v>
      </c>
      <c r="P137" s="4" t="s">
        <v>39</v>
      </c>
      <c r="S137">
        <v>72000</v>
      </c>
      <c r="T137">
        <f>(Tableau2[[#This Row],[PROD TOTALE/KG]]+Tableau2[[#This Row],[ PROD SURFACE (en Kg) ?]])/Tableau2[[#This Row],[SUP/HA]]</f>
        <v>6400</v>
      </c>
    </row>
    <row r="138" spans="1:20" x14ac:dyDescent="0.35">
      <c r="A138" t="s">
        <v>111</v>
      </c>
      <c r="B138" s="3">
        <v>2</v>
      </c>
      <c r="D138" s="4" t="s">
        <v>112</v>
      </c>
      <c r="E138" s="4" t="s">
        <v>45</v>
      </c>
      <c r="F138">
        <v>0.125</v>
      </c>
      <c r="G138" s="4" t="s">
        <v>24</v>
      </c>
      <c r="H138">
        <v>0</v>
      </c>
      <c r="I138">
        <v>1</v>
      </c>
      <c r="J138">
        <f>Tableau2[[#This Row],[PROD TOTALE/KG]]+Tableau2[[#This Row],[ PROD SURFACE (en Kg) ?]]</f>
        <v>700</v>
      </c>
      <c r="L138">
        <v>400</v>
      </c>
      <c r="M138">
        <v>700</v>
      </c>
      <c r="N138" s="4" t="s">
        <v>25</v>
      </c>
      <c r="O138" s="4" t="s">
        <v>35</v>
      </c>
      <c r="P138" s="4" t="s">
        <v>39</v>
      </c>
      <c r="S138">
        <v>63000</v>
      </c>
      <c r="T138">
        <f>(Tableau2[[#This Row],[PROD TOTALE/KG]]+Tableau2[[#This Row],[ PROD SURFACE (en Kg) ?]])/Tableau2[[#This Row],[SUP/HA]]</f>
        <v>5600</v>
      </c>
    </row>
    <row r="139" spans="1:20" x14ac:dyDescent="0.35">
      <c r="A139" t="s">
        <v>113</v>
      </c>
      <c r="B139" s="3">
        <v>3</v>
      </c>
      <c r="C139" s="4" t="s">
        <v>21</v>
      </c>
      <c r="D139" s="4" t="s">
        <v>112</v>
      </c>
      <c r="E139" s="4" t="s">
        <v>45</v>
      </c>
      <c r="F139">
        <v>1.5</v>
      </c>
      <c r="G139" s="4" t="s">
        <v>34</v>
      </c>
      <c r="H139">
        <v>1</v>
      </c>
      <c r="I139">
        <v>0</v>
      </c>
      <c r="J139">
        <f>Tableau2[[#This Row],[PROD TOTALE/KG]]+Tableau2[[#This Row],[ PROD SURFACE (en Kg) ?]]</f>
        <v>3500</v>
      </c>
      <c r="K139">
        <v>3500</v>
      </c>
      <c r="N139" s="4" t="s">
        <v>66</v>
      </c>
      <c r="P139" s="4" t="s">
        <v>39</v>
      </c>
      <c r="S139">
        <v>980000</v>
      </c>
      <c r="T139">
        <f>(Tableau2[[#This Row],[PROD TOTALE/KG]]+Tableau2[[#This Row],[ PROD SURFACE (en Kg) ?]])/Tableau2[[#This Row],[SUP/HA]]</f>
        <v>2333.3333333333335</v>
      </c>
    </row>
    <row r="140" spans="1:20" x14ac:dyDescent="0.35">
      <c r="A140" t="s">
        <v>113</v>
      </c>
      <c r="B140" s="3">
        <v>1</v>
      </c>
      <c r="D140" s="4" t="s">
        <v>112</v>
      </c>
      <c r="E140" s="4" t="s">
        <v>56</v>
      </c>
      <c r="F140">
        <v>0.5</v>
      </c>
      <c r="G140" s="4" t="s">
        <v>34</v>
      </c>
      <c r="H140">
        <v>1</v>
      </c>
      <c r="I140">
        <v>0</v>
      </c>
      <c r="J140">
        <f>Tableau2[[#This Row],[PROD TOTALE/KG]]+Tableau2[[#This Row],[ PROD SURFACE (en Kg) ?]]</f>
        <v>180</v>
      </c>
      <c r="K140">
        <v>180</v>
      </c>
      <c r="N140" s="4" t="s">
        <v>66</v>
      </c>
      <c r="P140" s="4" t="s">
        <v>39</v>
      </c>
      <c r="S140">
        <v>270000</v>
      </c>
      <c r="T140">
        <f>(Tableau2[[#This Row],[PROD TOTALE/KG]]+Tableau2[[#This Row],[ PROD SURFACE (en Kg) ?]])/Tableau2[[#This Row],[SUP/HA]]</f>
        <v>360</v>
      </c>
    </row>
    <row r="141" spans="1:20" x14ac:dyDescent="0.35">
      <c r="A141" t="s">
        <v>114</v>
      </c>
      <c r="B141" s="3">
        <v>2</v>
      </c>
      <c r="C141" s="4" t="s">
        <v>21</v>
      </c>
      <c r="D141" s="4" t="s">
        <v>22</v>
      </c>
      <c r="E141" s="4" t="s">
        <v>45</v>
      </c>
      <c r="F141">
        <v>0.3</v>
      </c>
      <c r="G141" s="4" t="s">
        <v>24</v>
      </c>
      <c r="H141">
        <v>0</v>
      </c>
      <c r="I141">
        <v>1</v>
      </c>
      <c r="J141">
        <f>Tableau2[[#This Row],[PROD TOTALE/KG]]+Tableau2[[#This Row],[ PROD SURFACE (en Kg) ?]]</f>
        <v>2500</v>
      </c>
      <c r="L141">
        <v>3000</v>
      </c>
      <c r="M141">
        <v>2500</v>
      </c>
      <c r="N141" s="4" t="s">
        <v>25</v>
      </c>
      <c r="O141" s="4" t="s">
        <v>49</v>
      </c>
      <c r="P141" s="4" t="s">
        <v>27</v>
      </c>
      <c r="Q141" s="4" t="s">
        <v>28</v>
      </c>
      <c r="R141" s="4" t="s">
        <v>37</v>
      </c>
      <c r="S141">
        <v>550000</v>
      </c>
      <c r="T141">
        <f>(Tableau2[[#This Row],[PROD TOTALE/KG]]+Tableau2[[#This Row],[ PROD SURFACE (en Kg) ?]])/Tableau2[[#This Row],[SUP/HA]]</f>
        <v>8333.3333333333339</v>
      </c>
    </row>
    <row r="142" spans="1:20" x14ac:dyDescent="0.35">
      <c r="A142" t="s">
        <v>114</v>
      </c>
      <c r="B142" s="3">
        <v>3</v>
      </c>
      <c r="D142" s="4" t="s">
        <v>22</v>
      </c>
      <c r="E142" s="4" t="s">
        <v>42</v>
      </c>
      <c r="F142">
        <v>0.14000000000000001</v>
      </c>
      <c r="G142" s="4" t="s">
        <v>24</v>
      </c>
      <c r="H142">
        <v>0</v>
      </c>
      <c r="I142">
        <v>1</v>
      </c>
      <c r="J142">
        <f>Tableau2[[#This Row],[PROD TOTALE/KG]]+Tableau2[[#This Row],[ PROD SURFACE (en Kg) ?]]</f>
        <v>1500</v>
      </c>
      <c r="L142">
        <v>1400</v>
      </c>
      <c r="M142">
        <v>1500</v>
      </c>
      <c r="N142" s="4" t="s">
        <v>25</v>
      </c>
      <c r="O142" s="4" t="s">
        <v>49</v>
      </c>
      <c r="P142" s="4" t="s">
        <v>27</v>
      </c>
      <c r="Q142" s="4" t="s">
        <v>28</v>
      </c>
      <c r="R142" s="4" t="s">
        <v>37</v>
      </c>
      <c r="S142">
        <v>350000</v>
      </c>
      <c r="T142">
        <f>(Tableau2[[#This Row],[PROD TOTALE/KG]]+Tableau2[[#This Row],[ PROD SURFACE (en Kg) ?]])/Tableau2[[#This Row],[SUP/HA]]</f>
        <v>10714.285714285714</v>
      </c>
    </row>
    <row r="143" spans="1:20" x14ac:dyDescent="0.35">
      <c r="A143" t="s">
        <v>114</v>
      </c>
      <c r="B143" s="3">
        <v>4</v>
      </c>
      <c r="D143" s="4" t="s">
        <v>22</v>
      </c>
      <c r="E143" s="4" t="s">
        <v>48</v>
      </c>
      <c r="F143">
        <v>0.2</v>
      </c>
      <c r="G143" s="4" t="s">
        <v>24</v>
      </c>
      <c r="H143">
        <v>0</v>
      </c>
      <c r="I143">
        <v>1</v>
      </c>
      <c r="J143">
        <f>Tableau2[[#This Row],[PROD TOTALE/KG]]+Tableau2[[#This Row],[ PROD SURFACE (en Kg) ?]]</f>
        <v>400</v>
      </c>
      <c r="L143">
        <v>2000</v>
      </c>
      <c r="M143">
        <v>400</v>
      </c>
      <c r="N143" s="4" t="s">
        <v>25</v>
      </c>
      <c r="O143" s="4" t="s">
        <v>49</v>
      </c>
      <c r="P143" s="4" t="s">
        <v>27</v>
      </c>
      <c r="Q143" s="4" t="s">
        <v>28</v>
      </c>
      <c r="R143" s="4" t="s">
        <v>37</v>
      </c>
      <c r="S143">
        <v>500000</v>
      </c>
      <c r="T143">
        <f>(Tableau2[[#This Row],[PROD TOTALE/KG]]+Tableau2[[#This Row],[ PROD SURFACE (en Kg) ?]])/Tableau2[[#This Row],[SUP/HA]]</f>
        <v>2000</v>
      </c>
    </row>
    <row r="144" spans="1:20" x14ac:dyDescent="0.35">
      <c r="A144" t="s">
        <v>114</v>
      </c>
      <c r="B144" s="3">
        <v>5</v>
      </c>
      <c r="D144" s="4" t="s">
        <v>22</v>
      </c>
      <c r="E144" s="4" t="s">
        <v>58</v>
      </c>
      <c r="F144">
        <v>0.3</v>
      </c>
      <c r="G144" s="4" t="s">
        <v>34</v>
      </c>
      <c r="H144">
        <v>1</v>
      </c>
      <c r="I144">
        <v>0</v>
      </c>
      <c r="J144">
        <f>Tableau2[[#This Row],[PROD TOTALE/KG]]+Tableau2[[#This Row],[ PROD SURFACE (en Kg) ?]]</f>
        <v>3000</v>
      </c>
      <c r="K144">
        <v>3000</v>
      </c>
      <c r="N144" s="4" t="s">
        <v>25</v>
      </c>
      <c r="O144" s="4" t="s">
        <v>49</v>
      </c>
      <c r="P144" s="4" t="s">
        <v>27</v>
      </c>
      <c r="Q144" s="4" t="s">
        <v>28</v>
      </c>
      <c r="R144" s="4" t="s">
        <v>37</v>
      </c>
      <c r="S144">
        <v>450000</v>
      </c>
      <c r="T144">
        <f>(Tableau2[[#This Row],[PROD TOTALE/KG]]+Tableau2[[#This Row],[ PROD SURFACE (en Kg) ?]])/Tableau2[[#This Row],[SUP/HA]]</f>
        <v>10000</v>
      </c>
    </row>
    <row r="145" spans="1:20" x14ac:dyDescent="0.35">
      <c r="A145" t="s">
        <v>114</v>
      </c>
      <c r="B145" s="3">
        <v>6</v>
      </c>
      <c r="D145" s="4" t="s">
        <v>22</v>
      </c>
      <c r="E145" s="4" t="s">
        <v>56</v>
      </c>
      <c r="F145">
        <v>0.2</v>
      </c>
      <c r="G145" s="4" t="s">
        <v>34</v>
      </c>
      <c r="H145">
        <v>1</v>
      </c>
      <c r="I145">
        <v>0</v>
      </c>
      <c r="J145">
        <f>Tableau2[[#This Row],[PROD TOTALE/KG]]+Tableau2[[#This Row],[ PROD SURFACE (en Kg) ?]]</f>
        <v>800</v>
      </c>
      <c r="K145">
        <v>800</v>
      </c>
      <c r="N145" s="4" t="s">
        <v>25</v>
      </c>
      <c r="O145" s="4" t="s">
        <v>49</v>
      </c>
      <c r="P145" s="4" t="s">
        <v>27</v>
      </c>
      <c r="Q145" s="4" t="s">
        <v>28</v>
      </c>
      <c r="R145" s="4" t="s">
        <v>37</v>
      </c>
      <c r="S145">
        <v>250000</v>
      </c>
      <c r="T145">
        <f>(Tableau2[[#This Row],[PROD TOTALE/KG]]+Tableau2[[#This Row],[ PROD SURFACE (en Kg) ?]])/Tableau2[[#This Row],[SUP/HA]]</f>
        <v>4000</v>
      </c>
    </row>
    <row r="146" spans="1:20" x14ac:dyDescent="0.35">
      <c r="A146" t="s">
        <v>114</v>
      </c>
      <c r="B146" s="3">
        <v>7</v>
      </c>
      <c r="D146" s="4" t="s">
        <v>22</v>
      </c>
      <c r="E146" s="4" t="s">
        <v>23</v>
      </c>
      <c r="F146">
        <v>0.2</v>
      </c>
      <c r="G146" s="4" t="s">
        <v>24</v>
      </c>
      <c r="H146">
        <v>0</v>
      </c>
      <c r="I146">
        <v>1</v>
      </c>
      <c r="J146">
        <f>Tableau2[[#This Row],[PROD TOTALE/KG]]+Tableau2[[#This Row],[ PROD SURFACE (en Kg) ?]]</f>
        <v>1000</v>
      </c>
      <c r="L146">
        <v>2000</v>
      </c>
      <c r="M146">
        <v>1000</v>
      </c>
      <c r="N146" s="4" t="s">
        <v>25</v>
      </c>
      <c r="O146" s="4" t="s">
        <v>49</v>
      </c>
      <c r="P146" s="4" t="s">
        <v>27</v>
      </c>
      <c r="Q146" s="4" t="s">
        <v>28</v>
      </c>
      <c r="R146" s="4" t="s">
        <v>37</v>
      </c>
      <c r="S146">
        <v>380000</v>
      </c>
      <c r="T146">
        <f>(Tableau2[[#This Row],[PROD TOTALE/KG]]+Tableau2[[#This Row],[ PROD SURFACE (en Kg) ?]])/Tableau2[[#This Row],[SUP/HA]]</f>
        <v>5000</v>
      </c>
    </row>
    <row r="147" spans="1:20" x14ac:dyDescent="0.35">
      <c r="A147" t="s">
        <v>115</v>
      </c>
      <c r="B147" s="3">
        <v>1</v>
      </c>
      <c r="C147" s="4" t="s">
        <v>21</v>
      </c>
      <c r="D147" s="4" t="s">
        <v>112</v>
      </c>
      <c r="E147" s="4" t="s">
        <v>97</v>
      </c>
      <c r="F147">
        <v>0.5</v>
      </c>
      <c r="G147" s="4" t="s">
        <v>34</v>
      </c>
      <c r="H147">
        <v>1</v>
      </c>
      <c r="I147">
        <v>0</v>
      </c>
      <c r="J147">
        <f>Tableau2[[#This Row],[PROD TOTALE/KG]]+Tableau2[[#This Row],[ PROD SURFACE (en Kg) ?]]</f>
        <v>65000</v>
      </c>
      <c r="K147">
        <v>65000</v>
      </c>
      <c r="N147" s="4" t="s">
        <v>66</v>
      </c>
      <c r="P147" s="4" t="s">
        <v>27</v>
      </c>
      <c r="Q147" s="4" t="s">
        <v>28</v>
      </c>
      <c r="R147" s="4" t="s">
        <v>37</v>
      </c>
      <c r="S147">
        <v>800000</v>
      </c>
      <c r="T147">
        <f>(Tableau2[[#This Row],[PROD TOTALE/KG]]+Tableau2[[#This Row],[ PROD SURFACE (en Kg) ?]])/Tableau2[[#This Row],[SUP/HA]]</f>
        <v>130000</v>
      </c>
    </row>
    <row r="148" spans="1:20" x14ac:dyDescent="0.35">
      <c r="A148" t="s">
        <v>115</v>
      </c>
      <c r="B148" s="3">
        <v>2</v>
      </c>
      <c r="D148" s="4" t="s">
        <v>112</v>
      </c>
      <c r="E148" s="4" t="s">
        <v>54</v>
      </c>
      <c r="F148">
        <v>1</v>
      </c>
      <c r="G148" s="4" t="s">
        <v>34</v>
      </c>
      <c r="H148">
        <v>1</v>
      </c>
      <c r="I148">
        <v>0</v>
      </c>
      <c r="J148">
        <f>Tableau2[[#This Row],[PROD TOTALE/KG]]+Tableau2[[#This Row],[ PROD SURFACE (en Kg) ?]]</f>
        <v>4900</v>
      </c>
      <c r="K148">
        <v>4900</v>
      </c>
      <c r="N148" s="4" t="s">
        <v>66</v>
      </c>
      <c r="P148" s="4" t="s">
        <v>27</v>
      </c>
      <c r="Q148" s="4" t="s">
        <v>28</v>
      </c>
      <c r="R148" s="4" t="s">
        <v>37</v>
      </c>
      <c r="S148">
        <v>1260000</v>
      </c>
      <c r="T148">
        <f>(Tableau2[[#This Row],[PROD TOTALE/KG]]+Tableau2[[#This Row],[ PROD SURFACE (en Kg) ?]])/Tableau2[[#This Row],[SUP/HA]]</f>
        <v>4900</v>
      </c>
    </row>
    <row r="149" spans="1:20" x14ac:dyDescent="0.35">
      <c r="A149" t="s">
        <v>115</v>
      </c>
      <c r="B149" s="3">
        <v>3</v>
      </c>
      <c r="D149" s="4" t="s">
        <v>112</v>
      </c>
      <c r="E149" s="4" t="s">
        <v>33</v>
      </c>
      <c r="F149">
        <v>0.5</v>
      </c>
      <c r="G149" s="4" t="s">
        <v>34</v>
      </c>
      <c r="H149">
        <v>1</v>
      </c>
      <c r="I149">
        <v>0</v>
      </c>
      <c r="J149">
        <f>Tableau2[[#This Row],[PROD TOTALE/KG]]+Tableau2[[#This Row],[ PROD SURFACE (en Kg) ?]]</f>
        <v>1500</v>
      </c>
      <c r="K149">
        <v>1500</v>
      </c>
      <c r="N149" s="4" t="s">
        <v>66</v>
      </c>
      <c r="P149" s="4" t="s">
        <v>27</v>
      </c>
      <c r="Q149" s="4" t="s">
        <v>28</v>
      </c>
      <c r="R149" s="4" t="s">
        <v>37</v>
      </c>
      <c r="S149">
        <v>390000</v>
      </c>
      <c r="T149">
        <f>(Tableau2[[#This Row],[PROD TOTALE/KG]]+Tableau2[[#This Row],[ PROD SURFACE (en Kg) ?]])/Tableau2[[#This Row],[SUP/HA]]</f>
        <v>3000</v>
      </c>
    </row>
    <row r="150" spans="1:20" x14ac:dyDescent="0.35">
      <c r="A150" t="s">
        <v>116</v>
      </c>
      <c r="B150" s="3">
        <v>4</v>
      </c>
      <c r="C150" s="4" t="s">
        <v>21</v>
      </c>
      <c r="D150" s="4" t="s">
        <v>112</v>
      </c>
      <c r="E150" s="4" t="s">
        <v>45</v>
      </c>
      <c r="F150">
        <v>1</v>
      </c>
      <c r="G150" s="4" t="s">
        <v>34</v>
      </c>
      <c r="H150">
        <v>1</v>
      </c>
      <c r="I150">
        <v>0</v>
      </c>
      <c r="J150">
        <f>Tableau2[[#This Row],[PROD TOTALE/KG]]+Tableau2[[#This Row],[ PROD SURFACE (en Kg) ?]]</f>
        <v>3500</v>
      </c>
      <c r="K150">
        <v>3500</v>
      </c>
      <c r="N150" s="4" t="s">
        <v>25</v>
      </c>
      <c r="O150" s="4" t="s">
        <v>35</v>
      </c>
      <c r="P150" s="4" t="s">
        <v>39</v>
      </c>
      <c r="S150">
        <v>350000</v>
      </c>
      <c r="T150">
        <f>(Tableau2[[#This Row],[PROD TOTALE/KG]]+Tableau2[[#This Row],[ PROD SURFACE (en Kg) ?]])/Tableau2[[#This Row],[SUP/HA]]</f>
        <v>3500</v>
      </c>
    </row>
    <row r="151" spans="1:20" x14ac:dyDescent="0.35">
      <c r="A151" t="s">
        <v>116</v>
      </c>
      <c r="B151" s="3">
        <v>5</v>
      </c>
      <c r="D151" s="4" t="s">
        <v>112</v>
      </c>
      <c r="E151" s="4" t="s">
        <v>23</v>
      </c>
      <c r="F151">
        <v>1</v>
      </c>
      <c r="G151" s="4" t="s">
        <v>34</v>
      </c>
      <c r="H151">
        <v>1</v>
      </c>
      <c r="I151">
        <v>0</v>
      </c>
      <c r="J151">
        <f>Tableau2[[#This Row],[PROD TOTALE/KG]]+Tableau2[[#This Row],[ PROD SURFACE (en Kg) ?]]</f>
        <v>36000</v>
      </c>
      <c r="K151">
        <v>36000</v>
      </c>
      <c r="N151" s="4" t="s">
        <v>66</v>
      </c>
      <c r="P151" s="4" t="s">
        <v>39</v>
      </c>
      <c r="S151">
        <v>3600000</v>
      </c>
      <c r="T151">
        <f>(Tableau2[[#This Row],[PROD TOTALE/KG]]+Tableau2[[#This Row],[ PROD SURFACE (en Kg) ?]])/Tableau2[[#This Row],[SUP/HA]]</f>
        <v>36000</v>
      </c>
    </row>
    <row r="152" spans="1:20" x14ac:dyDescent="0.35">
      <c r="A152" t="s">
        <v>117</v>
      </c>
      <c r="B152" s="3">
        <v>1</v>
      </c>
      <c r="C152" s="4" t="s">
        <v>21</v>
      </c>
      <c r="D152" s="4" t="s">
        <v>112</v>
      </c>
      <c r="E152" s="4" t="s">
        <v>97</v>
      </c>
      <c r="F152">
        <v>1</v>
      </c>
      <c r="G152" s="4" t="s">
        <v>34</v>
      </c>
      <c r="H152">
        <v>1</v>
      </c>
      <c r="I152">
        <v>0</v>
      </c>
      <c r="J152">
        <f>Tableau2[[#This Row],[PROD TOTALE/KG]]+Tableau2[[#This Row],[ PROD SURFACE (en Kg) ?]]</f>
        <v>20000</v>
      </c>
      <c r="K152">
        <v>20000</v>
      </c>
      <c r="N152" s="4" t="s">
        <v>66</v>
      </c>
      <c r="P152" s="4" t="s">
        <v>27</v>
      </c>
      <c r="Q152" s="4" t="s">
        <v>28</v>
      </c>
      <c r="R152" s="4" t="s">
        <v>37</v>
      </c>
      <c r="S152">
        <v>1600000</v>
      </c>
      <c r="T152">
        <f>(Tableau2[[#This Row],[PROD TOTALE/KG]]+Tableau2[[#This Row],[ PROD SURFACE (en Kg) ?]])/Tableau2[[#This Row],[SUP/HA]]</f>
        <v>20000</v>
      </c>
    </row>
    <row r="153" spans="1:20" x14ac:dyDescent="0.35">
      <c r="A153" t="s">
        <v>117</v>
      </c>
      <c r="B153" s="3">
        <v>2</v>
      </c>
      <c r="D153" s="4" t="s">
        <v>112</v>
      </c>
      <c r="E153" s="4" t="s">
        <v>33</v>
      </c>
      <c r="F153">
        <v>0.25</v>
      </c>
      <c r="G153" s="4" t="s">
        <v>34</v>
      </c>
      <c r="H153">
        <v>1</v>
      </c>
      <c r="I153">
        <v>0</v>
      </c>
      <c r="J153">
        <f>Tableau2[[#This Row],[PROD TOTALE/KG]]+Tableau2[[#This Row],[ PROD SURFACE (en Kg) ?]]</f>
        <v>15000</v>
      </c>
      <c r="K153">
        <v>15000</v>
      </c>
      <c r="N153" s="4" t="s">
        <v>66</v>
      </c>
      <c r="P153" s="4" t="s">
        <v>27</v>
      </c>
      <c r="Q153" s="4" t="s">
        <v>28</v>
      </c>
      <c r="R153" s="4" t="s">
        <v>37</v>
      </c>
      <c r="S153">
        <v>2700000</v>
      </c>
      <c r="T153">
        <f>(Tableau2[[#This Row],[PROD TOTALE/KG]]+Tableau2[[#This Row],[ PROD SURFACE (en Kg) ?]])/Tableau2[[#This Row],[SUP/HA]]</f>
        <v>60000</v>
      </c>
    </row>
    <row r="154" spans="1:20" x14ac:dyDescent="0.35">
      <c r="A154" t="s">
        <v>118</v>
      </c>
      <c r="B154" s="3">
        <v>3</v>
      </c>
      <c r="C154" s="4" t="s">
        <v>31</v>
      </c>
      <c r="D154" s="4" t="s">
        <v>119</v>
      </c>
      <c r="E154" s="4" t="s">
        <v>45</v>
      </c>
      <c r="F154">
        <v>0.4</v>
      </c>
      <c r="G154" s="4" t="s">
        <v>34</v>
      </c>
      <c r="H154">
        <v>1</v>
      </c>
      <c r="I154">
        <v>0</v>
      </c>
      <c r="J154">
        <f>Tableau2[[#This Row],[PROD TOTALE/KG]]+Tableau2[[#This Row],[ PROD SURFACE (en Kg) ?]]</f>
        <v>1200</v>
      </c>
      <c r="K154">
        <v>1200</v>
      </c>
      <c r="N154" s="4" t="s">
        <v>25</v>
      </c>
      <c r="O154" s="4" t="s">
        <v>35</v>
      </c>
      <c r="P154" s="4" t="s">
        <v>27</v>
      </c>
      <c r="Q154" s="4" t="s">
        <v>28</v>
      </c>
      <c r="R154" s="4" t="s">
        <v>37</v>
      </c>
      <c r="S154">
        <v>300000</v>
      </c>
      <c r="T154">
        <f>(Tableau2[[#This Row],[PROD TOTALE/KG]]+Tableau2[[#This Row],[ PROD SURFACE (en Kg) ?]])/Tableau2[[#This Row],[SUP/HA]]</f>
        <v>3000</v>
      </c>
    </row>
    <row r="155" spans="1:20" x14ac:dyDescent="0.35">
      <c r="A155" t="s">
        <v>118</v>
      </c>
      <c r="B155" s="3">
        <v>1</v>
      </c>
      <c r="D155" s="4" t="s">
        <v>119</v>
      </c>
      <c r="E155" s="4" t="s">
        <v>54</v>
      </c>
      <c r="F155">
        <v>0.1</v>
      </c>
      <c r="G155" s="4" t="s">
        <v>34</v>
      </c>
      <c r="H155">
        <v>1</v>
      </c>
      <c r="I155">
        <v>0</v>
      </c>
      <c r="J155">
        <f>Tableau2[[#This Row],[PROD TOTALE/KG]]+Tableau2[[#This Row],[ PROD SURFACE (en Kg) ?]]</f>
        <v>1000</v>
      </c>
      <c r="K155">
        <v>1000</v>
      </c>
      <c r="N155" s="4" t="s">
        <v>25</v>
      </c>
      <c r="O155" s="4" t="s">
        <v>35</v>
      </c>
      <c r="P155" s="4" t="s">
        <v>27</v>
      </c>
      <c r="Q155" s="4" t="s">
        <v>36</v>
      </c>
      <c r="S155">
        <v>200000</v>
      </c>
      <c r="T155">
        <f>(Tableau2[[#This Row],[PROD TOTALE/KG]]+Tableau2[[#This Row],[ PROD SURFACE (en Kg) ?]])/Tableau2[[#This Row],[SUP/HA]]</f>
        <v>10000</v>
      </c>
    </row>
    <row r="156" spans="1:20" x14ac:dyDescent="0.35">
      <c r="A156" t="s">
        <v>118</v>
      </c>
      <c r="B156" s="3">
        <v>2</v>
      </c>
      <c r="D156" s="4" t="s">
        <v>119</v>
      </c>
      <c r="E156" s="4" t="s">
        <v>42</v>
      </c>
      <c r="F156">
        <v>0.2</v>
      </c>
      <c r="G156" s="4" t="s">
        <v>34</v>
      </c>
      <c r="H156">
        <v>1</v>
      </c>
      <c r="I156">
        <v>0</v>
      </c>
      <c r="J156">
        <f>Tableau2[[#This Row],[PROD TOTALE/KG]]+Tableau2[[#This Row],[ PROD SURFACE (en Kg) ?]]</f>
        <v>1200</v>
      </c>
      <c r="K156">
        <v>1200</v>
      </c>
      <c r="N156" s="4" t="s">
        <v>25</v>
      </c>
      <c r="O156" s="4" t="s">
        <v>35</v>
      </c>
      <c r="P156" s="4" t="s">
        <v>27</v>
      </c>
      <c r="Q156" s="4" t="s">
        <v>28</v>
      </c>
      <c r="R156" s="4" t="s">
        <v>37</v>
      </c>
      <c r="S156">
        <v>300000</v>
      </c>
      <c r="T156">
        <f>(Tableau2[[#This Row],[PROD TOTALE/KG]]+Tableau2[[#This Row],[ PROD SURFACE (en Kg) ?]])/Tableau2[[#This Row],[SUP/HA]]</f>
        <v>6000</v>
      </c>
    </row>
    <row r="157" spans="1:20" x14ac:dyDescent="0.35">
      <c r="A157" t="s">
        <v>120</v>
      </c>
      <c r="B157" s="3">
        <v>3</v>
      </c>
      <c r="C157" s="4" t="s">
        <v>31</v>
      </c>
      <c r="D157" s="4" t="s">
        <v>119</v>
      </c>
      <c r="E157" s="4" t="s">
        <v>42</v>
      </c>
      <c r="F157">
        <v>0.05</v>
      </c>
      <c r="G157" s="4" t="s">
        <v>34</v>
      </c>
      <c r="H157">
        <v>1</v>
      </c>
      <c r="I157">
        <v>0</v>
      </c>
      <c r="J157">
        <f>Tableau2[[#This Row],[PROD TOTALE/KG]]+Tableau2[[#This Row],[ PROD SURFACE (en Kg) ?]]</f>
        <v>300</v>
      </c>
      <c r="K157">
        <v>300</v>
      </c>
      <c r="N157" s="4" t="s">
        <v>25</v>
      </c>
      <c r="O157" s="4" t="s">
        <v>35</v>
      </c>
      <c r="P157" s="4" t="s">
        <v>27</v>
      </c>
      <c r="Q157" s="4" t="s">
        <v>28</v>
      </c>
      <c r="R157" s="4" t="s">
        <v>37</v>
      </c>
      <c r="S157">
        <v>90000</v>
      </c>
      <c r="T157">
        <f>(Tableau2[[#This Row],[PROD TOTALE/KG]]+Tableau2[[#This Row],[ PROD SURFACE (en Kg) ?]])/Tableau2[[#This Row],[SUP/HA]]</f>
        <v>6000</v>
      </c>
    </row>
    <row r="158" spans="1:20" x14ac:dyDescent="0.35">
      <c r="A158" t="s">
        <v>120</v>
      </c>
      <c r="B158" s="3">
        <v>4</v>
      </c>
      <c r="D158" s="4" t="s">
        <v>119</v>
      </c>
      <c r="E158" s="4" t="s">
        <v>54</v>
      </c>
      <c r="F158">
        <v>2.5000000000000001E-2</v>
      </c>
      <c r="G158" s="4" t="s">
        <v>34</v>
      </c>
      <c r="H158">
        <v>1</v>
      </c>
      <c r="I158">
        <v>0</v>
      </c>
      <c r="J158">
        <f>Tableau2[[#This Row],[PROD TOTALE/KG]]+Tableau2[[#This Row],[ PROD SURFACE (en Kg) ?]]</f>
        <v>250</v>
      </c>
      <c r="K158">
        <v>250</v>
      </c>
      <c r="N158" s="4" t="s">
        <v>25</v>
      </c>
      <c r="O158" s="4" t="s">
        <v>35</v>
      </c>
      <c r="P158" s="4" t="s">
        <v>27</v>
      </c>
      <c r="Q158" s="4" t="s">
        <v>28</v>
      </c>
      <c r="R158" s="4" t="s">
        <v>37</v>
      </c>
      <c r="S158">
        <v>150000</v>
      </c>
      <c r="T158">
        <f>(Tableau2[[#This Row],[PROD TOTALE/KG]]+Tableau2[[#This Row],[ PROD SURFACE (en Kg) ?]])/Tableau2[[#This Row],[SUP/HA]]</f>
        <v>10000</v>
      </c>
    </row>
    <row r="159" spans="1:20" x14ac:dyDescent="0.35">
      <c r="A159" t="s">
        <v>121</v>
      </c>
      <c r="B159" s="3">
        <v>1</v>
      </c>
      <c r="C159" s="4" t="s">
        <v>31</v>
      </c>
      <c r="D159" s="4" t="s">
        <v>119</v>
      </c>
      <c r="E159" s="4" t="s">
        <v>45</v>
      </c>
      <c r="F159">
        <v>0.1</v>
      </c>
      <c r="G159" s="4" t="s">
        <v>34</v>
      </c>
      <c r="H159">
        <v>1</v>
      </c>
      <c r="I159">
        <v>0</v>
      </c>
      <c r="J159">
        <f>Tableau2[[#This Row],[PROD TOTALE/KG]]+Tableau2[[#This Row],[ PROD SURFACE (en Kg) ?]]</f>
        <v>500</v>
      </c>
      <c r="K159">
        <v>500</v>
      </c>
      <c r="N159" s="4" t="s">
        <v>25</v>
      </c>
      <c r="O159" s="4" t="s">
        <v>35</v>
      </c>
      <c r="P159" s="4" t="s">
        <v>27</v>
      </c>
      <c r="Q159" s="4" t="s">
        <v>28</v>
      </c>
      <c r="R159" s="4" t="s">
        <v>37</v>
      </c>
      <c r="S159">
        <v>200000</v>
      </c>
      <c r="T159">
        <f>(Tableau2[[#This Row],[PROD TOTALE/KG]]+Tableau2[[#This Row],[ PROD SURFACE (en Kg) ?]])/Tableau2[[#This Row],[SUP/HA]]</f>
        <v>5000</v>
      </c>
    </row>
    <row r="160" spans="1:20" x14ac:dyDescent="0.35">
      <c r="A160" t="s">
        <v>122</v>
      </c>
      <c r="B160" s="3">
        <v>2</v>
      </c>
      <c r="C160" s="4" t="s">
        <v>31</v>
      </c>
      <c r="D160" s="4" t="s">
        <v>119</v>
      </c>
      <c r="E160" s="4" t="s">
        <v>42</v>
      </c>
      <c r="F160">
        <v>0.05</v>
      </c>
      <c r="G160" s="4" t="s">
        <v>34</v>
      </c>
      <c r="H160">
        <v>1</v>
      </c>
      <c r="I160">
        <v>0</v>
      </c>
      <c r="J160">
        <f>Tableau2[[#This Row],[PROD TOTALE/KG]]+Tableau2[[#This Row],[ PROD SURFACE (en Kg) ?]]</f>
        <v>300</v>
      </c>
      <c r="K160">
        <v>300</v>
      </c>
      <c r="N160" s="4" t="s">
        <v>25</v>
      </c>
      <c r="O160" s="4" t="s">
        <v>35</v>
      </c>
      <c r="P160" s="4" t="s">
        <v>27</v>
      </c>
      <c r="Q160" s="4" t="s">
        <v>28</v>
      </c>
      <c r="R160" s="4" t="s">
        <v>37</v>
      </c>
      <c r="S160">
        <v>60000</v>
      </c>
      <c r="T160">
        <f>(Tableau2[[#This Row],[PROD TOTALE/KG]]+Tableau2[[#This Row],[ PROD SURFACE (en Kg) ?]])/Tableau2[[#This Row],[SUP/HA]]</f>
        <v>6000</v>
      </c>
    </row>
    <row r="161" spans="1:20" x14ac:dyDescent="0.35">
      <c r="A161" t="s">
        <v>122</v>
      </c>
      <c r="B161" s="3">
        <v>1</v>
      </c>
      <c r="D161" s="4" t="s">
        <v>119</v>
      </c>
      <c r="E161" s="4" t="s">
        <v>45</v>
      </c>
      <c r="F161">
        <v>0.15</v>
      </c>
      <c r="G161" s="4" t="s">
        <v>34</v>
      </c>
      <c r="H161">
        <v>1</v>
      </c>
      <c r="I161">
        <v>0</v>
      </c>
      <c r="J161">
        <f>Tableau2[[#This Row],[PROD TOTALE/KG]]+Tableau2[[#This Row],[ PROD SURFACE (en Kg) ?]]</f>
        <v>500</v>
      </c>
      <c r="K161">
        <v>500</v>
      </c>
      <c r="N161" s="4" t="s">
        <v>25</v>
      </c>
      <c r="O161" s="4" t="s">
        <v>35</v>
      </c>
      <c r="P161" s="4" t="s">
        <v>27</v>
      </c>
      <c r="Q161" s="4" t="s">
        <v>28</v>
      </c>
      <c r="R161" s="4" t="s">
        <v>37</v>
      </c>
      <c r="S161">
        <v>150000</v>
      </c>
      <c r="T161">
        <f>(Tableau2[[#This Row],[PROD TOTALE/KG]]+Tableau2[[#This Row],[ PROD SURFACE (en Kg) ?]])/Tableau2[[#This Row],[SUP/HA]]</f>
        <v>3333.3333333333335</v>
      </c>
    </row>
    <row r="162" spans="1:20" x14ac:dyDescent="0.35">
      <c r="A162" t="s">
        <v>123</v>
      </c>
      <c r="B162" s="3">
        <v>2</v>
      </c>
      <c r="C162" s="4" t="s">
        <v>31</v>
      </c>
      <c r="D162" s="4" t="s">
        <v>119</v>
      </c>
      <c r="E162" s="4" t="s">
        <v>54</v>
      </c>
      <c r="F162">
        <v>0.05</v>
      </c>
      <c r="G162" s="4" t="s">
        <v>34</v>
      </c>
      <c r="H162">
        <v>1</v>
      </c>
      <c r="I162">
        <v>0</v>
      </c>
      <c r="J162">
        <f>Tableau2[[#This Row],[PROD TOTALE/KG]]+Tableau2[[#This Row],[ PROD SURFACE (en Kg) ?]]</f>
        <v>375</v>
      </c>
      <c r="K162">
        <v>375</v>
      </c>
      <c r="N162" s="4" t="s">
        <v>25</v>
      </c>
      <c r="O162" s="4" t="s">
        <v>35</v>
      </c>
      <c r="P162" s="4" t="s">
        <v>27</v>
      </c>
      <c r="Q162" s="4" t="s">
        <v>36</v>
      </c>
      <c r="S162">
        <v>225000</v>
      </c>
      <c r="T162">
        <f>(Tableau2[[#This Row],[PROD TOTALE/KG]]+Tableau2[[#This Row],[ PROD SURFACE (en Kg) ?]])/Tableau2[[#This Row],[SUP/HA]]</f>
        <v>7500</v>
      </c>
    </row>
    <row r="163" spans="1:20" x14ac:dyDescent="0.35">
      <c r="A163" t="s">
        <v>124</v>
      </c>
      <c r="B163" s="3">
        <v>3</v>
      </c>
      <c r="C163" s="4" t="s">
        <v>31</v>
      </c>
      <c r="D163" s="4" t="s">
        <v>125</v>
      </c>
      <c r="E163" s="4" t="s">
        <v>33</v>
      </c>
      <c r="F163">
        <v>0.125</v>
      </c>
      <c r="G163" s="4" t="s">
        <v>34</v>
      </c>
      <c r="H163">
        <v>1</v>
      </c>
      <c r="I163">
        <v>0</v>
      </c>
      <c r="J163">
        <f>Tableau2[[#This Row],[PROD TOTALE/KG]]+Tableau2[[#This Row],[ PROD SURFACE (en Kg) ?]]</f>
        <v>3720</v>
      </c>
      <c r="K163">
        <v>3720</v>
      </c>
      <c r="N163" s="4" t="s">
        <v>25</v>
      </c>
      <c r="O163" s="4" t="s">
        <v>35</v>
      </c>
      <c r="P163" s="4" t="s">
        <v>27</v>
      </c>
      <c r="Q163" s="4" t="s">
        <v>28</v>
      </c>
      <c r="R163" s="4" t="s">
        <v>51</v>
      </c>
      <c r="S163">
        <v>630000</v>
      </c>
      <c r="T163">
        <f>(Tableau2[[#This Row],[PROD TOTALE/KG]]+Tableau2[[#This Row],[ PROD SURFACE (en Kg) ?]])/Tableau2[[#This Row],[SUP/HA]]</f>
        <v>29760</v>
      </c>
    </row>
    <row r="164" spans="1:20" x14ac:dyDescent="0.35">
      <c r="A164" t="s">
        <v>124</v>
      </c>
      <c r="B164" s="3">
        <v>4</v>
      </c>
      <c r="D164" s="4" t="s">
        <v>125</v>
      </c>
      <c r="E164" s="4" t="s">
        <v>54</v>
      </c>
      <c r="F164">
        <v>0.125</v>
      </c>
      <c r="G164" s="4" t="s">
        <v>34</v>
      </c>
      <c r="H164">
        <v>1</v>
      </c>
      <c r="I164">
        <v>0</v>
      </c>
      <c r="J164">
        <f>Tableau2[[#This Row],[PROD TOTALE/KG]]+Tableau2[[#This Row],[ PROD SURFACE (en Kg) ?]]</f>
        <v>600</v>
      </c>
      <c r="K164">
        <v>600</v>
      </c>
      <c r="N164" s="4" t="s">
        <v>25</v>
      </c>
      <c r="O164" s="4" t="s">
        <v>35</v>
      </c>
      <c r="P164" s="4" t="s">
        <v>27</v>
      </c>
      <c r="Q164" s="4" t="s">
        <v>28</v>
      </c>
      <c r="R164" s="4" t="s">
        <v>29</v>
      </c>
      <c r="S164">
        <v>180000</v>
      </c>
      <c r="T164">
        <f>(Tableau2[[#This Row],[PROD TOTALE/KG]]+Tableau2[[#This Row],[ PROD SURFACE (en Kg) ?]])/Tableau2[[#This Row],[SUP/HA]]</f>
        <v>4800</v>
      </c>
    </row>
    <row r="165" spans="1:20" x14ac:dyDescent="0.35">
      <c r="A165" t="s">
        <v>126</v>
      </c>
      <c r="B165" s="3">
        <v>1</v>
      </c>
      <c r="C165" s="4" t="s">
        <v>31</v>
      </c>
      <c r="D165" s="4" t="s">
        <v>125</v>
      </c>
      <c r="E165" s="4" t="s">
        <v>97</v>
      </c>
      <c r="F165">
        <v>5</v>
      </c>
      <c r="G165" s="4" t="s">
        <v>34</v>
      </c>
      <c r="H165">
        <v>1</v>
      </c>
      <c r="I165">
        <v>0</v>
      </c>
      <c r="J165">
        <f>Tableau2[[#This Row],[PROD TOTALE/KG]]+Tableau2[[#This Row],[ PROD SURFACE (en Kg) ?]]</f>
        <v>5</v>
      </c>
      <c r="K165">
        <v>5</v>
      </c>
      <c r="N165" s="4" t="s">
        <v>25</v>
      </c>
      <c r="O165" s="4" t="s">
        <v>35</v>
      </c>
      <c r="P165" s="4" t="s">
        <v>27</v>
      </c>
      <c r="Q165" s="4" t="s">
        <v>28</v>
      </c>
      <c r="R165" s="4" t="s">
        <v>29</v>
      </c>
      <c r="S165">
        <v>5</v>
      </c>
      <c r="T165">
        <f>(Tableau2[[#This Row],[PROD TOTALE/KG]]+Tableau2[[#This Row],[ PROD SURFACE (en Kg) ?]])/Tableau2[[#This Row],[SUP/HA]]</f>
        <v>1</v>
      </c>
    </row>
    <row r="166" spans="1:20" x14ac:dyDescent="0.35">
      <c r="A166" t="s">
        <v>126</v>
      </c>
      <c r="B166" s="3">
        <v>2</v>
      </c>
      <c r="D166" s="4" t="s">
        <v>125</v>
      </c>
      <c r="E166" s="4" t="s">
        <v>33</v>
      </c>
      <c r="F166">
        <v>0.125</v>
      </c>
      <c r="G166" s="4" t="s">
        <v>24</v>
      </c>
      <c r="H166">
        <v>0</v>
      </c>
      <c r="I166">
        <v>1</v>
      </c>
      <c r="J166">
        <f>Tableau2[[#This Row],[PROD TOTALE/KG]]+Tableau2[[#This Row],[ PROD SURFACE (en Kg) ?]]</f>
        <v>1500</v>
      </c>
      <c r="L166">
        <v>15</v>
      </c>
      <c r="M166">
        <v>1500</v>
      </c>
      <c r="N166" s="4" t="s">
        <v>25</v>
      </c>
      <c r="O166" s="4" t="s">
        <v>35</v>
      </c>
      <c r="P166" s="4" t="s">
        <v>39</v>
      </c>
      <c r="S166">
        <v>150000</v>
      </c>
      <c r="T166">
        <f>(Tableau2[[#This Row],[PROD TOTALE/KG]]+Tableau2[[#This Row],[ PROD SURFACE (en Kg) ?]])/Tableau2[[#This Row],[SUP/HA]]</f>
        <v>12000</v>
      </c>
    </row>
    <row r="167" spans="1:20" x14ac:dyDescent="0.35">
      <c r="A167" t="s">
        <v>126</v>
      </c>
      <c r="B167" s="3">
        <v>3</v>
      </c>
      <c r="D167" s="4" t="s">
        <v>125</v>
      </c>
      <c r="E167" s="4" t="s">
        <v>97</v>
      </c>
      <c r="F167">
        <v>0.125</v>
      </c>
      <c r="G167" s="4" t="s">
        <v>34</v>
      </c>
      <c r="H167">
        <v>1</v>
      </c>
      <c r="I167">
        <v>0</v>
      </c>
      <c r="J167">
        <f>Tableau2[[#This Row],[PROD TOTALE/KG]]+Tableau2[[#This Row],[ PROD SURFACE (en Kg) ?]]</f>
        <v>800</v>
      </c>
      <c r="K167">
        <v>800</v>
      </c>
      <c r="N167" s="4" t="s">
        <v>25</v>
      </c>
      <c r="O167" s="4" t="s">
        <v>35</v>
      </c>
      <c r="P167" s="4" t="s">
        <v>39</v>
      </c>
      <c r="S167">
        <v>90000</v>
      </c>
      <c r="T167">
        <f>(Tableau2[[#This Row],[PROD TOTALE/KG]]+Tableau2[[#This Row],[ PROD SURFACE (en Kg) ?]])/Tableau2[[#This Row],[SUP/HA]]</f>
        <v>6400</v>
      </c>
    </row>
    <row r="168" spans="1:20" x14ac:dyDescent="0.35">
      <c r="A168" t="s">
        <v>126</v>
      </c>
      <c r="B168" s="3">
        <v>1</v>
      </c>
      <c r="D168" s="4" t="s">
        <v>125</v>
      </c>
      <c r="E168" s="4" t="s">
        <v>54</v>
      </c>
      <c r="F168">
        <v>0.25</v>
      </c>
      <c r="G168" s="4" t="s">
        <v>34</v>
      </c>
      <c r="H168">
        <v>1</v>
      </c>
      <c r="I168">
        <v>0</v>
      </c>
      <c r="J168">
        <f>Tableau2[[#This Row],[PROD TOTALE/KG]]+Tableau2[[#This Row],[ PROD SURFACE (en Kg) ?]]</f>
        <v>1500</v>
      </c>
      <c r="K168">
        <v>1500</v>
      </c>
      <c r="N168" s="4" t="s">
        <v>25</v>
      </c>
      <c r="O168" s="4" t="s">
        <v>35</v>
      </c>
      <c r="P168" s="4" t="s">
        <v>39</v>
      </c>
      <c r="S168">
        <v>90000</v>
      </c>
      <c r="T168">
        <f>(Tableau2[[#This Row],[PROD TOTALE/KG]]+Tableau2[[#This Row],[ PROD SURFACE (en Kg) ?]])/Tableau2[[#This Row],[SUP/HA]]</f>
        <v>6000</v>
      </c>
    </row>
    <row r="169" spans="1:20" x14ac:dyDescent="0.35">
      <c r="A169" t="s">
        <v>127</v>
      </c>
      <c r="B169" s="3">
        <v>2</v>
      </c>
      <c r="C169" s="4" t="s">
        <v>31</v>
      </c>
      <c r="D169" s="4" t="s">
        <v>125</v>
      </c>
      <c r="E169" s="4" t="s">
        <v>33</v>
      </c>
      <c r="F169">
        <v>0.25</v>
      </c>
      <c r="G169" s="4" t="s">
        <v>24</v>
      </c>
      <c r="H169">
        <v>0</v>
      </c>
      <c r="I169">
        <v>1</v>
      </c>
      <c r="J169">
        <f>Tableau2[[#This Row],[PROD TOTALE/KG]]+Tableau2[[#This Row],[ PROD SURFACE (en Kg) ?]]</f>
        <v>630</v>
      </c>
      <c r="L169">
        <v>15</v>
      </c>
      <c r="M169">
        <v>630</v>
      </c>
      <c r="N169" s="4" t="s">
        <v>66</v>
      </c>
      <c r="P169" s="4" t="s">
        <v>27</v>
      </c>
      <c r="Q169" s="4" t="s">
        <v>28</v>
      </c>
      <c r="R169" s="4" t="s">
        <v>51</v>
      </c>
      <c r="S169">
        <v>400000</v>
      </c>
      <c r="T169">
        <f>(Tableau2[[#This Row],[PROD TOTALE/KG]]+Tableau2[[#This Row],[ PROD SURFACE (en Kg) ?]])/Tableau2[[#This Row],[SUP/HA]]</f>
        <v>2520</v>
      </c>
    </row>
    <row r="170" spans="1:20" x14ac:dyDescent="0.35">
      <c r="A170" t="s">
        <v>127</v>
      </c>
      <c r="B170" s="3">
        <v>3</v>
      </c>
      <c r="D170" s="4" t="s">
        <v>125</v>
      </c>
      <c r="E170" s="4" t="s">
        <v>23</v>
      </c>
      <c r="F170">
        <v>0.125</v>
      </c>
      <c r="G170" s="4" t="s">
        <v>24</v>
      </c>
      <c r="H170">
        <v>0</v>
      </c>
      <c r="I170">
        <v>1</v>
      </c>
      <c r="J170">
        <f>Tableau2[[#This Row],[PROD TOTALE/KG]]+Tableau2[[#This Row],[ PROD SURFACE (en Kg) ?]]</f>
        <v>250</v>
      </c>
      <c r="L170">
        <v>14</v>
      </c>
      <c r="M170">
        <v>250</v>
      </c>
      <c r="N170" s="4" t="s">
        <v>25</v>
      </c>
      <c r="O170" s="4" t="s">
        <v>35</v>
      </c>
      <c r="P170" s="4" t="s">
        <v>39</v>
      </c>
      <c r="S170">
        <v>120000</v>
      </c>
      <c r="T170">
        <f>(Tableau2[[#This Row],[PROD TOTALE/KG]]+Tableau2[[#This Row],[ PROD SURFACE (en Kg) ?]])/Tableau2[[#This Row],[SUP/HA]]</f>
        <v>2000</v>
      </c>
    </row>
    <row r="171" spans="1:20" x14ac:dyDescent="0.35">
      <c r="A171" t="s">
        <v>128</v>
      </c>
      <c r="B171" s="3">
        <v>4</v>
      </c>
      <c r="C171" s="4" t="s">
        <v>31</v>
      </c>
      <c r="D171" s="4" t="s">
        <v>125</v>
      </c>
      <c r="E171" s="4" t="s">
        <v>33</v>
      </c>
      <c r="F171">
        <v>3</v>
      </c>
      <c r="G171" s="4" t="s">
        <v>34</v>
      </c>
      <c r="H171">
        <v>1</v>
      </c>
      <c r="I171">
        <v>0</v>
      </c>
      <c r="J171">
        <f>Tableau2[[#This Row],[PROD TOTALE/KG]]+Tableau2[[#This Row],[ PROD SURFACE (en Kg) ?]]</f>
        <v>200</v>
      </c>
      <c r="K171">
        <v>200</v>
      </c>
      <c r="N171" s="4" t="s">
        <v>25</v>
      </c>
      <c r="O171" s="4" t="s">
        <v>26</v>
      </c>
      <c r="P171" s="4" t="s">
        <v>27</v>
      </c>
      <c r="Q171" s="4" t="s">
        <v>28</v>
      </c>
      <c r="R171" s="4" t="s">
        <v>37</v>
      </c>
      <c r="S171">
        <v>200000</v>
      </c>
      <c r="T171">
        <f>(Tableau2[[#This Row],[PROD TOTALE/KG]]+Tableau2[[#This Row],[ PROD SURFACE (en Kg) ?]])/Tableau2[[#This Row],[SUP/HA]]</f>
        <v>66.666666666666671</v>
      </c>
    </row>
    <row r="172" spans="1:20" x14ac:dyDescent="0.35">
      <c r="A172" t="s">
        <v>128</v>
      </c>
      <c r="B172" s="3">
        <v>5</v>
      </c>
      <c r="D172" s="4" t="s">
        <v>125</v>
      </c>
      <c r="E172" s="4" t="s">
        <v>33</v>
      </c>
      <c r="F172">
        <v>3</v>
      </c>
      <c r="G172" s="4" t="s">
        <v>34</v>
      </c>
      <c r="H172">
        <v>1</v>
      </c>
      <c r="I172">
        <v>0</v>
      </c>
      <c r="J172">
        <f>Tableau2[[#This Row],[PROD TOTALE/KG]]+Tableau2[[#This Row],[ PROD SURFACE (en Kg) ?]]</f>
        <v>900</v>
      </c>
      <c r="K172">
        <v>900</v>
      </c>
      <c r="N172" s="4" t="s">
        <v>25</v>
      </c>
      <c r="O172" s="4" t="s">
        <v>35</v>
      </c>
      <c r="P172" s="4" t="s">
        <v>27</v>
      </c>
      <c r="Q172" s="4" t="s">
        <v>28</v>
      </c>
      <c r="R172" s="4" t="s">
        <v>51</v>
      </c>
      <c r="S172">
        <v>90000</v>
      </c>
      <c r="T172">
        <f>(Tableau2[[#This Row],[PROD TOTALE/KG]]+Tableau2[[#This Row],[ PROD SURFACE (en Kg) ?]])/Tableau2[[#This Row],[SUP/HA]]</f>
        <v>300</v>
      </c>
    </row>
    <row r="173" spans="1:20" x14ac:dyDescent="0.35">
      <c r="A173" t="s">
        <v>128</v>
      </c>
      <c r="B173" s="3">
        <v>6</v>
      </c>
      <c r="D173" s="4" t="s">
        <v>125</v>
      </c>
      <c r="E173" s="4" t="s">
        <v>45</v>
      </c>
      <c r="F173">
        <v>0.25</v>
      </c>
      <c r="G173" s="4" t="s">
        <v>34</v>
      </c>
      <c r="H173">
        <v>1</v>
      </c>
      <c r="I173">
        <v>0</v>
      </c>
      <c r="J173">
        <f>Tableau2[[#This Row],[PROD TOTALE/KG]]+Tableau2[[#This Row],[ PROD SURFACE (en Kg) ?]]</f>
        <v>700</v>
      </c>
      <c r="K173">
        <v>700</v>
      </c>
      <c r="N173" s="4" t="s">
        <v>25</v>
      </c>
      <c r="O173" s="4" t="s">
        <v>35</v>
      </c>
      <c r="P173" s="4" t="s">
        <v>27</v>
      </c>
      <c r="Q173" s="4" t="s">
        <v>28</v>
      </c>
      <c r="R173" s="4" t="s">
        <v>29</v>
      </c>
      <c r="S173">
        <v>700000</v>
      </c>
      <c r="T173">
        <f>(Tableau2[[#This Row],[PROD TOTALE/KG]]+Tableau2[[#This Row],[ PROD SURFACE (en Kg) ?]])/Tableau2[[#This Row],[SUP/HA]]</f>
        <v>2800</v>
      </c>
    </row>
    <row r="174" spans="1:20" x14ac:dyDescent="0.35">
      <c r="A174" t="s">
        <v>129</v>
      </c>
      <c r="B174" s="3">
        <v>1</v>
      </c>
      <c r="C174" s="4" t="s">
        <v>31</v>
      </c>
      <c r="D174" s="4" t="s">
        <v>125</v>
      </c>
      <c r="E174" s="4" t="s">
        <v>33</v>
      </c>
      <c r="F174">
        <v>0.25</v>
      </c>
      <c r="G174" s="4" t="s">
        <v>34</v>
      </c>
      <c r="H174">
        <v>1</v>
      </c>
      <c r="I174">
        <v>0</v>
      </c>
      <c r="J174">
        <f>Tableau2[[#This Row],[PROD TOTALE/KG]]+Tableau2[[#This Row],[ PROD SURFACE (en Kg) ?]]</f>
        <v>1500</v>
      </c>
      <c r="K174">
        <v>1500</v>
      </c>
      <c r="N174" s="4" t="s">
        <v>25</v>
      </c>
      <c r="O174" s="4" t="s">
        <v>35</v>
      </c>
      <c r="P174" s="4" t="s">
        <v>27</v>
      </c>
      <c r="Q174" s="4" t="s">
        <v>28</v>
      </c>
      <c r="R174" s="4" t="s">
        <v>51</v>
      </c>
      <c r="S174">
        <v>650000</v>
      </c>
      <c r="T174">
        <f>(Tableau2[[#This Row],[PROD TOTALE/KG]]+Tableau2[[#This Row],[ PROD SURFACE (en Kg) ?]])/Tableau2[[#This Row],[SUP/HA]]</f>
        <v>6000</v>
      </c>
    </row>
    <row r="175" spans="1:20" x14ac:dyDescent="0.35">
      <c r="A175" t="s">
        <v>129</v>
      </c>
      <c r="B175" s="3">
        <v>2</v>
      </c>
      <c r="D175" s="4" t="s">
        <v>125</v>
      </c>
      <c r="E175" s="4" t="s">
        <v>48</v>
      </c>
      <c r="F175">
        <v>0.125</v>
      </c>
      <c r="G175" s="4" t="s">
        <v>34</v>
      </c>
      <c r="H175">
        <v>1</v>
      </c>
      <c r="I175">
        <v>0</v>
      </c>
      <c r="J175">
        <f>Tableau2[[#This Row],[PROD TOTALE/KG]]+Tableau2[[#This Row],[ PROD SURFACE (en Kg) ?]]</f>
        <v>200</v>
      </c>
      <c r="K175">
        <v>200</v>
      </c>
      <c r="N175" s="4" t="s">
        <v>25</v>
      </c>
      <c r="O175" s="4" t="s">
        <v>35</v>
      </c>
      <c r="P175" s="4" t="s">
        <v>39</v>
      </c>
      <c r="S175">
        <v>100000</v>
      </c>
      <c r="T175">
        <f>(Tableau2[[#This Row],[PROD TOTALE/KG]]+Tableau2[[#This Row],[ PROD SURFACE (en Kg) ?]])/Tableau2[[#This Row],[SUP/HA]]</f>
        <v>1600</v>
      </c>
    </row>
    <row r="176" spans="1:20" x14ac:dyDescent="0.35">
      <c r="A176" t="s">
        <v>129</v>
      </c>
      <c r="B176" s="3">
        <v>3</v>
      </c>
      <c r="D176" s="4" t="s">
        <v>125</v>
      </c>
      <c r="E176" s="4" t="s">
        <v>69</v>
      </c>
      <c r="F176">
        <v>0.25</v>
      </c>
      <c r="G176" s="4" t="s">
        <v>34</v>
      </c>
      <c r="H176">
        <v>1</v>
      </c>
      <c r="I176">
        <v>0</v>
      </c>
      <c r="J176">
        <f>Tableau2[[#This Row],[PROD TOTALE/KG]]+Tableau2[[#This Row],[ PROD SURFACE (en Kg) ?]]</f>
        <v>150</v>
      </c>
      <c r="K176">
        <v>150</v>
      </c>
      <c r="N176" s="4" t="s">
        <v>25</v>
      </c>
      <c r="O176" s="4" t="s">
        <v>35</v>
      </c>
      <c r="P176" s="4" t="s">
        <v>39</v>
      </c>
      <c r="S176">
        <v>30000</v>
      </c>
      <c r="T176">
        <f>(Tableau2[[#This Row],[PROD TOTALE/KG]]+Tableau2[[#This Row],[ PROD SURFACE (en Kg) ?]])/Tableau2[[#This Row],[SUP/HA]]</f>
        <v>600</v>
      </c>
    </row>
    <row r="177" spans="1:20" x14ac:dyDescent="0.35">
      <c r="A177" t="s">
        <v>129</v>
      </c>
      <c r="B177" s="3">
        <v>1</v>
      </c>
      <c r="D177" s="4" t="s">
        <v>125</v>
      </c>
      <c r="E177" s="4" t="s">
        <v>45</v>
      </c>
      <c r="F177">
        <v>0.125</v>
      </c>
      <c r="G177" s="4" t="s">
        <v>34</v>
      </c>
      <c r="H177">
        <v>1</v>
      </c>
      <c r="I177">
        <v>0</v>
      </c>
      <c r="J177">
        <f>Tableau2[[#This Row],[PROD TOTALE/KG]]+Tableau2[[#This Row],[ PROD SURFACE (en Kg) ?]]</f>
        <v>200</v>
      </c>
      <c r="K177">
        <v>200</v>
      </c>
      <c r="N177" s="4" t="s">
        <v>25</v>
      </c>
      <c r="O177" s="4" t="s">
        <v>35</v>
      </c>
      <c r="P177" s="4" t="s">
        <v>39</v>
      </c>
      <c r="S177">
        <v>65000</v>
      </c>
      <c r="T177">
        <f>(Tableau2[[#This Row],[PROD TOTALE/KG]]+Tableau2[[#This Row],[ PROD SURFACE (en Kg) ?]])/Tableau2[[#This Row],[SUP/HA]]</f>
        <v>1600</v>
      </c>
    </row>
    <row r="178" spans="1:20" x14ac:dyDescent="0.35">
      <c r="A178" t="s">
        <v>130</v>
      </c>
      <c r="B178" s="3">
        <v>2</v>
      </c>
      <c r="C178" s="4" t="s">
        <v>31</v>
      </c>
      <c r="D178" s="4" t="s">
        <v>125</v>
      </c>
      <c r="E178" s="4" t="s">
        <v>33</v>
      </c>
      <c r="F178">
        <v>0.25</v>
      </c>
      <c r="G178" s="4" t="s">
        <v>34</v>
      </c>
      <c r="H178">
        <v>1</v>
      </c>
      <c r="I178">
        <v>0</v>
      </c>
      <c r="J178">
        <f>Tableau2[[#This Row],[PROD TOTALE/KG]]+Tableau2[[#This Row],[ PROD SURFACE (en Kg) ?]]</f>
        <v>500</v>
      </c>
      <c r="K178">
        <v>500</v>
      </c>
      <c r="N178" s="4" t="s">
        <v>25</v>
      </c>
      <c r="O178" s="4" t="s">
        <v>49</v>
      </c>
      <c r="P178" s="4" t="s">
        <v>39</v>
      </c>
      <c r="S178">
        <v>170000</v>
      </c>
      <c r="T178">
        <f>(Tableau2[[#This Row],[PROD TOTALE/KG]]+Tableau2[[#This Row],[ PROD SURFACE (en Kg) ?]])/Tableau2[[#This Row],[SUP/HA]]</f>
        <v>2000</v>
      </c>
    </row>
    <row r="179" spans="1:20" x14ac:dyDescent="0.35">
      <c r="A179" t="s">
        <v>130</v>
      </c>
      <c r="B179" s="3">
        <v>1</v>
      </c>
      <c r="D179" s="4" t="s">
        <v>125</v>
      </c>
      <c r="E179" s="4" t="s">
        <v>48</v>
      </c>
      <c r="F179">
        <v>0.25</v>
      </c>
      <c r="G179" s="4" t="s">
        <v>34</v>
      </c>
      <c r="H179">
        <v>1</v>
      </c>
      <c r="I179">
        <v>0</v>
      </c>
      <c r="J179">
        <f>Tableau2[[#This Row],[PROD TOTALE/KG]]+Tableau2[[#This Row],[ PROD SURFACE (en Kg) ?]]</f>
        <v>525</v>
      </c>
      <c r="K179">
        <v>525</v>
      </c>
      <c r="N179" s="4" t="s">
        <v>25</v>
      </c>
      <c r="O179" s="4" t="s">
        <v>35</v>
      </c>
      <c r="P179" s="4" t="s">
        <v>39</v>
      </c>
      <c r="S179">
        <v>125000</v>
      </c>
      <c r="T179">
        <f>(Tableau2[[#This Row],[PROD TOTALE/KG]]+Tableau2[[#This Row],[ PROD SURFACE (en Kg) ?]])/Tableau2[[#This Row],[SUP/HA]]</f>
        <v>2100</v>
      </c>
    </row>
    <row r="180" spans="1:20" x14ac:dyDescent="0.35">
      <c r="A180" t="s">
        <v>130</v>
      </c>
      <c r="B180" s="3">
        <v>2</v>
      </c>
      <c r="D180" s="4" t="s">
        <v>125</v>
      </c>
      <c r="E180" s="4" t="s">
        <v>45</v>
      </c>
      <c r="F180">
        <v>0.25</v>
      </c>
      <c r="G180" s="4" t="s">
        <v>34</v>
      </c>
      <c r="H180">
        <v>1</v>
      </c>
      <c r="I180">
        <v>0</v>
      </c>
      <c r="J180">
        <f>Tableau2[[#This Row],[PROD TOTALE/KG]]+Tableau2[[#This Row],[ PROD SURFACE (en Kg) ?]]</f>
        <v>1200</v>
      </c>
      <c r="K180">
        <v>1200</v>
      </c>
      <c r="N180" s="4" t="s">
        <v>25</v>
      </c>
      <c r="O180" s="4" t="s">
        <v>35</v>
      </c>
      <c r="P180" s="4" t="s">
        <v>39</v>
      </c>
      <c r="S180">
        <v>640000</v>
      </c>
      <c r="T180">
        <f>(Tableau2[[#This Row],[PROD TOTALE/KG]]+Tableau2[[#This Row],[ PROD SURFACE (en Kg) ?]])/Tableau2[[#This Row],[SUP/HA]]</f>
        <v>4800</v>
      </c>
    </row>
    <row r="181" spans="1:20" x14ac:dyDescent="0.35">
      <c r="A181" t="s">
        <v>131</v>
      </c>
      <c r="B181" s="3">
        <v>1</v>
      </c>
      <c r="C181" s="4" t="s">
        <v>31</v>
      </c>
      <c r="D181" s="4" t="s">
        <v>125</v>
      </c>
      <c r="E181" s="4" t="s">
        <v>42</v>
      </c>
      <c r="F181">
        <v>0.25</v>
      </c>
      <c r="G181" s="4" t="s">
        <v>34</v>
      </c>
      <c r="H181">
        <v>1</v>
      </c>
      <c r="I181">
        <v>0</v>
      </c>
      <c r="J181">
        <f>Tableau2[[#This Row],[PROD TOTALE/KG]]+Tableau2[[#This Row],[ PROD SURFACE (en Kg) ?]]</f>
        <v>500</v>
      </c>
      <c r="K181">
        <v>500</v>
      </c>
      <c r="N181" s="4" t="s">
        <v>66</v>
      </c>
      <c r="P181" s="4" t="s">
        <v>39</v>
      </c>
      <c r="S181">
        <v>70000</v>
      </c>
      <c r="T181">
        <f>(Tableau2[[#This Row],[PROD TOTALE/KG]]+Tableau2[[#This Row],[ PROD SURFACE (en Kg) ?]])/Tableau2[[#This Row],[SUP/HA]]</f>
        <v>2000</v>
      </c>
    </row>
    <row r="182" spans="1:20" x14ac:dyDescent="0.35">
      <c r="A182" t="s">
        <v>131</v>
      </c>
      <c r="B182" s="3">
        <v>2</v>
      </c>
      <c r="D182" s="4" t="s">
        <v>125</v>
      </c>
      <c r="E182" s="4" t="s">
        <v>45</v>
      </c>
      <c r="F182">
        <v>0.25</v>
      </c>
      <c r="G182" s="4" t="s">
        <v>34</v>
      </c>
      <c r="H182">
        <v>1</v>
      </c>
      <c r="I182">
        <v>0</v>
      </c>
      <c r="J182">
        <f>Tableau2[[#This Row],[PROD TOTALE/KG]]+Tableau2[[#This Row],[ PROD SURFACE (en Kg) ?]]</f>
        <v>168000</v>
      </c>
      <c r="K182">
        <v>168000</v>
      </c>
      <c r="N182" s="4" t="s">
        <v>25</v>
      </c>
      <c r="O182" s="4" t="s">
        <v>49</v>
      </c>
      <c r="P182" s="4" t="s">
        <v>39</v>
      </c>
      <c r="S182">
        <v>56000</v>
      </c>
      <c r="T182">
        <f>(Tableau2[[#This Row],[PROD TOTALE/KG]]+Tableau2[[#This Row],[ PROD SURFACE (en Kg) ?]])/Tableau2[[#This Row],[SUP/HA]]</f>
        <v>672000</v>
      </c>
    </row>
    <row r="183" spans="1:20" x14ac:dyDescent="0.35">
      <c r="A183" t="s">
        <v>131</v>
      </c>
      <c r="B183" s="3">
        <v>3</v>
      </c>
      <c r="D183" s="4" t="s">
        <v>125</v>
      </c>
      <c r="E183" s="4" t="s">
        <v>93</v>
      </c>
      <c r="F183">
        <v>0.25</v>
      </c>
      <c r="G183" s="4" t="s">
        <v>34</v>
      </c>
      <c r="H183">
        <v>1</v>
      </c>
      <c r="I183">
        <v>0</v>
      </c>
      <c r="J183">
        <f>Tableau2[[#This Row],[PROD TOTALE/KG]]+Tableau2[[#This Row],[ PROD SURFACE (en Kg) ?]]</f>
        <v>500</v>
      </c>
      <c r="K183">
        <v>500</v>
      </c>
      <c r="N183" s="4" t="s">
        <v>66</v>
      </c>
      <c r="P183" s="4" t="s">
        <v>39</v>
      </c>
      <c r="S183">
        <v>70000</v>
      </c>
      <c r="T183">
        <f>(Tableau2[[#This Row],[PROD TOTALE/KG]]+Tableau2[[#This Row],[ PROD SURFACE (en Kg) ?]])/Tableau2[[#This Row],[SUP/HA]]</f>
        <v>2000</v>
      </c>
    </row>
    <row r="184" spans="1:20" x14ac:dyDescent="0.35">
      <c r="A184" t="s">
        <v>132</v>
      </c>
      <c r="B184" s="3">
        <v>1</v>
      </c>
      <c r="C184" s="4" t="s">
        <v>31</v>
      </c>
      <c r="D184" s="4" t="s">
        <v>125</v>
      </c>
      <c r="E184" s="4" t="s">
        <v>33</v>
      </c>
      <c r="F184">
        <v>0.25</v>
      </c>
      <c r="G184" s="4" t="s">
        <v>34</v>
      </c>
      <c r="H184">
        <v>1</v>
      </c>
      <c r="I184">
        <v>0</v>
      </c>
      <c r="J184">
        <f>Tableau2[[#This Row],[PROD TOTALE/KG]]+Tableau2[[#This Row],[ PROD SURFACE (en Kg) ?]]</f>
        <v>600</v>
      </c>
      <c r="K184">
        <v>600</v>
      </c>
      <c r="N184" s="4" t="s">
        <v>66</v>
      </c>
      <c r="P184" s="4" t="s">
        <v>39</v>
      </c>
      <c r="S184">
        <v>120000</v>
      </c>
      <c r="T184">
        <f>(Tableau2[[#This Row],[PROD TOTALE/KG]]+Tableau2[[#This Row],[ PROD SURFACE (en Kg) ?]])/Tableau2[[#This Row],[SUP/HA]]</f>
        <v>2400</v>
      </c>
    </row>
    <row r="185" spans="1:20" x14ac:dyDescent="0.35">
      <c r="A185" t="s">
        <v>132</v>
      </c>
      <c r="B185" s="3">
        <v>2</v>
      </c>
      <c r="D185" s="4" t="s">
        <v>125</v>
      </c>
      <c r="E185" s="4" t="s">
        <v>45</v>
      </c>
      <c r="F185">
        <v>0.25</v>
      </c>
      <c r="G185" s="4" t="s">
        <v>34</v>
      </c>
      <c r="H185">
        <v>1</v>
      </c>
      <c r="I185">
        <v>0</v>
      </c>
      <c r="J185">
        <f>Tableau2[[#This Row],[PROD TOTALE/KG]]+Tableau2[[#This Row],[ PROD SURFACE (en Kg) ?]]</f>
        <v>1320</v>
      </c>
      <c r="K185">
        <v>1320</v>
      </c>
      <c r="N185" s="4" t="s">
        <v>66</v>
      </c>
      <c r="P185" s="4" t="s">
        <v>39</v>
      </c>
      <c r="S185">
        <v>704000</v>
      </c>
      <c r="T185">
        <f>(Tableau2[[#This Row],[PROD TOTALE/KG]]+Tableau2[[#This Row],[ PROD SURFACE (en Kg) ?]])/Tableau2[[#This Row],[SUP/HA]]</f>
        <v>5280</v>
      </c>
    </row>
    <row r="186" spans="1:20" x14ac:dyDescent="0.35">
      <c r="A186" t="s">
        <v>133</v>
      </c>
      <c r="B186" s="3">
        <v>1</v>
      </c>
      <c r="C186" s="4" t="s">
        <v>31</v>
      </c>
      <c r="D186" s="4" t="s">
        <v>125</v>
      </c>
      <c r="E186" s="4" t="s">
        <v>42</v>
      </c>
      <c r="F186">
        <v>0.25</v>
      </c>
      <c r="G186" s="4" t="s">
        <v>34</v>
      </c>
      <c r="H186">
        <v>1</v>
      </c>
      <c r="I186">
        <v>0</v>
      </c>
      <c r="J186">
        <f>Tableau2[[#This Row],[PROD TOTALE/KG]]+Tableau2[[#This Row],[ PROD SURFACE (en Kg) ?]]</f>
        <v>1200</v>
      </c>
      <c r="K186">
        <v>1200</v>
      </c>
      <c r="N186" s="4" t="s">
        <v>66</v>
      </c>
      <c r="P186" s="4" t="s">
        <v>39</v>
      </c>
      <c r="S186">
        <v>168000</v>
      </c>
      <c r="T186">
        <f>(Tableau2[[#This Row],[PROD TOTALE/KG]]+Tableau2[[#This Row],[ PROD SURFACE (en Kg) ?]])/Tableau2[[#This Row],[SUP/HA]]</f>
        <v>4800</v>
      </c>
    </row>
    <row r="187" spans="1:20" x14ac:dyDescent="0.35">
      <c r="A187" t="s">
        <v>133</v>
      </c>
      <c r="B187" s="3">
        <v>1</v>
      </c>
      <c r="D187" s="4" t="s">
        <v>125</v>
      </c>
      <c r="E187" s="4" t="s">
        <v>45</v>
      </c>
      <c r="F187">
        <v>0.25</v>
      </c>
      <c r="G187" s="4" t="s">
        <v>34</v>
      </c>
      <c r="H187">
        <v>1</v>
      </c>
      <c r="I187">
        <v>0</v>
      </c>
      <c r="J187">
        <f>Tableau2[[#This Row],[PROD TOTALE/KG]]+Tableau2[[#This Row],[ PROD SURFACE (en Kg) ?]]</f>
        <v>1000</v>
      </c>
      <c r="K187">
        <v>1000</v>
      </c>
      <c r="N187" s="4" t="s">
        <v>66</v>
      </c>
      <c r="P187" s="4" t="s">
        <v>39</v>
      </c>
      <c r="S187">
        <v>140000</v>
      </c>
      <c r="T187">
        <f>(Tableau2[[#This Row],[PROD TOTALE/KG]]+Tableau2[[#This Row],[ PROD SURFACE (en Kg) ?]])/Tableau2[[#This Row],[SUP/HA]]</f>
        <v>4000</v>
      </c>
    </row>
    <row r="188" spans="1:20" x14ac:dyDescent="0.35">
      <c r="A188" t="s">
        <v>134</v>
      </c>
      <c r="B188" s="3">
        <v>2</v>
      </c>
      <c r="C188" s="4" t="s">
        <v>31</v>
      </c>
      <c r="D188" s="4" t="s">
        <v>125</v>
      </c>
      <c r="E188" s="4" t="s">
        <v>45</v>
      </c>
      <c r="F188">
        <v>0.125</v>
      </c>
      <c r="G188" s="4" t="s">
        <v>34</v>
      </c>
      <c r="H188">
        <v>1</v>
      </c>
      <c r="I188">
        <v>0</v>
      </c>
      <c r="J188">
        <f>Tableau2[[#This Row],[PROD TOTALE/KG]]+Tableau2[[#This Row],[ PROD SURFACE (en Kg) ?]]</f>
        <v>600</v>
      </c>
      <c r="K188">
        <v>600</v>
      </c>
      <c r="N188" s="4" t="s">
        <v>66</v>
      </c>
      <c r="P188" s="4" t="s">
        <v>39</v>
      </c>
      <c r="S188">
        <v>84000</v>
      </c>
      <c r="T188">
        <f>(Tableau2[[#This Row],[PROD TOTALE/KG]]+Tableau2[[#This Row],[ PROD SURFACE (en Kg) ?]])/Tableau2[[#This Row],[SUP/HA]]</f>
        <v>4800</v>
      </c>
    </row>
    <row r="189" spans="1:20" x14ac:dyDescent="0.35">
      <c r="A189" t="s">
        <v>134</v>
      </c>
      <c r="B189" s="3">
        <v>1</v>
      </c>
      <c r="D189" s="4" t="s">
        <v>125</v>
      </c>
      <c r="E189" s="4" t="s">
        <v>23</v>
      </c>
      <c r="F189">
        <v>0.25</v>
      </c>
      <c r="G189" s="4" t="s">
        <v>34</v>
      </c>
      <c r="H189">
        <v>1</v>
      </c>
      <c r="I189">
        <v>0</v>
      </c>
      <c r="J189">
        <f>Tableau2[[#This Row],[PROD TOTALE/KG]]+Tableau2[[#This Row],[ PROD SURFACE (en Kg) ?]]</f>
        <v>1500</v>
      </c>
      <c r="K189">
        <v>1500</v>
      </c>
      <c r="N189" s="4" t="s">
        <v>25</v>
      </c>
      <c r="O189" s="4" t="s">
        <v>49</v>
      </c>
      <c r="P189" s="4" t="s">
        <v>39</v>
      </c>
      <c r="S189">
        <v>150000</v>
      </c>
      <c r="T189">
        <f>(Tableau2[[#This Row],[PROD TOTALE/KG]]+Tableau2[[#This Row],[ PROD SURFACE (en Kg) ?]])/Tableau2[[#This Row],[SUP/HA]]</f>
        <v>6000</v>
      </c>
    </row>
    <row r="190" spans="1:20" x14ac:dyDescent="0.35">
      <c r="B190" s="3"/>
      <c r="E190" s="4"/>
      <c r="G190" s="4"/>
      <c r="J190">
        <f>Tableau2[[#This Row],[PROD TOTALE/KG]]+Tableau2[[#This Row],[ PROD SURFACE (en Kg) ?]]</f>
        <v>0</v>
      </c>
      <c r="N190" s="4"/>
      <c r="P190" s="4"/>
    </row>
    <row r="191" spans="1:20" x14ac:dyDescent="0.35">
      <c r="B191" s="3"/>
      <c r="E191" s="4"/>
      <c r="G191" s="4"/>
      <c r="J191">
        <f>Tableau2[[#This Row],[PROD TOTALE/KG]]+Tableau2[[#This Row],[ PROD SURFACE (en Kg) ?]]</f>
        <v>0</v>
      </c>
      <c r="N191" s="4"/>
      <c r="P191" s="4"/>
    </row>
    <row r="192" spans="1:20" x14ac:dyDescent="0.35">
      <c r="B192" s="3"/>
      <c r="E192" s="4"/>
      <c r="G192" s="4"/>
      <c r="J192">
        <f>Tableau2[[#This Row],[PROD TOTALE/KG]]+Tableau2[[#This Row],[ PROD SURFACE (en Kg) ?]]</f>
        <v>0</v>
      </c>
      <c r="N192" s="4"/>
      <c r="P192" s="4"/>
    </row>
    <row r="193" spans="2:16" x14ac:dyDescent="0.35">
      <c r="B193" s="3"/>
      <c r="E193" s="4"/>
      <c r="G193" s="4"/>
      <c r="J193">
        <f>Tableau2[[#This Row],[PROD TOTALE/KG]]+Tableau2[[#This Row],[ PROD SURFACE (en Kg) ?]]</f>
        <v>0</v>
      </c>
      <c r="N193" s="4"/>
      <c r="P193" s="4"/>
    </row>
    <row r="194" spans="2:16" x14ac:dyDescent="0.35">
      <c r="B194" s="3"/>
      <c r="E194" s="4"/>
      <c r="G194" s="4"/>
      <c r="J194">
        <f>Tableau2[[#This Row],[PROD TOTALE/KG]]+Tableau2[[#This Row],[ PROD SURFACE (en Kg) ?]]</f>
        <v>0</v>
      </c>
      <c r="N194" s="4"/>
      <c r="P194" s="4"/>
    </row>
    <row r="195" spans="2:16" x14ac:dyDescent="0.35">
      <c r="B195" s="3"/>
      <c r="E195" s="4"/>
      <c r="G195" s="4"/>
      <c r="J195">
        <f>Tableau2[[#This Row],[PROD TOTALE/KG]]+Tableau2[[#This Row],[ PROD SURFACE (en Kg) ?]]</f>
        <v>0</v>
      </c>
      <c r="N195" s="4"/>
      <c r="P195" s="4"/>
    </row>
    <row r="196" spans="2:16" x14ac:dyDescent="0.35">
      <c r="B196" s="3"/>
      <c r="E196" s="4"/>
      <c r="G196" s="4"/>
      <c r="J196">
        <f>Tableau2[[#This Row],[PROD TOTALE/KG]]+Tableau2[[#This Row],[ PROD SURFACE (en Kg) ?]]</f>
        <v>0</v>
      </c>
      <c r="N196" s="4"/>
      <c r="P196" s="4"/>
    </row>
    <row r="197" spans="2:16" x14ac:dyDescent="0.35">
      <c r="B197" s="3"/>
      <c r="E197" s="4"/>
      <c r="G197" s="4"/>
      <c r="J197">
        <f>Tableau2[[#This Row],[PROD TOTALE/KG]]+Tableau2[[#This Row],[ PROD SURFACE (en Kg) ?]]</f>
        <v>0</v>
      </c>
      <c r="N197" s="4"/>
      <c r="P197" s="4"/>
    </row>
    <row r="198" spans="2:16" x14ac:dyDescent="0.35">
      <c r="B198" s="3"/>
      <c r="E198" s="4"/>
      <c r="G198" s="4"/>
      <c r="J198">
        <f>Tableau2[[#This Row],[PROD TOTALE/KG]]+Tableau2[[#This Row],[ PROD SURFACE (en Kg) ?]]</f>
        <v>0</v>
      </c>
      <c r="N198" s="4"/>
      <c r="P198" s="4"/>
    </row>
    <row r="199" spans="2:16" x14ac:dyDescent="0.35">
      <c r="B199" s="3"/>
      <c r="E199" s="4"/>
      <c r="G199" s="4"/>
      <c r="J199">
        <f>Tableau2[[#This Row],[PROD TOTALE/KG]]+Tableau2[[#This Row],[ PROD SURFACE (en Kg) ?]]</f>
        <v>0</v>
      </c>
      <c r="N199" s="4"/>
      <c r="P199" s="4"/>
    </row>
    <row r="200" spans="2:16" x14ac:dyDescent="0.35">
      <c r="B200" s="3"/>
      <c r="E200" s="4"/>
      <c r="G200" s="4"/>
      <c r="J200">
        <f>Tableau2[[#This Row],[PROD TOTALE/KG]]+Tableau2[[#This Row],[ PROD SURFACE (en Kg) ?]]</f>
        <v>0</v>
      </c>
      <c r="N200" s="4"/>
      <c r="P200" s="4"/>
    </row>
    <row r="201" spans="2:16" x14ac:dyDescent="0.35">
      <c r="B201" s="3"/>
      <c r="E201" s="4"/>
      <c r="G201" s="4"/>
      <c r="J201">
        <f>Tableau2[[#This Row],[PROD TOTALE/KG]]+Tableau2[[#This Row],[ PROD SURFACE (en Kg) ?]]</f>
        <v>0</v>
      </c>
      <c r="N201" s="4"/>
      <c r="P201" s="4"/>
    </row>
    <row r="202" spans="2:16" x14ac:dyDescent="0.35">
      <c r="B202" s="3"/>
      <c r="E202" s="4"/>
      <c r="G202" s="4"/>
      <c r="J202">
        <f>Tableau2[[#This Row],[PROD TOTALE/KG]]+Tableau2[[#This Row],[ PROD SURFACE (en Kg) ?]]</f>
        <v>0</v>
      </c>
      <c r="N202" s="4"/>
      <c r="P202" s="4"/>
    </row>
    <row r="203" spans="2:16" x14ac:dyDescent="0.35">
      <c r="B203" s="3"/>
      <c r="E203" s="4"/>
      <c r="G203" s="4"/>
      <c r="J203">
        <f>Tableau2[[#This Row],[PROD TOTALE/KG]]+Tableau2[[#This Row],[ PROD SURFACE (en Kg) ?]]</f>
        <v>0</v>
      </c>
      <c r="N203" s="4"/>
      <c r="P203" s="4"/>
    </row>
    <row r="204" spans="2:16" x14ac:dyDescent="0.35">
      <c r="B204" s="3"/>
      <c r="E204" s="4"/>
      <c r="G204" s="4"/>
      <c r="J204">
        <f>Tableau2[[#This Row],[PROD TOTALE/KG]]+Tableau2[[#This Row],[ PROD SURFACE (en Kg) ?]]</f>
        <v>0</v>
      </c>
      <c r="N204" s="4"/>
      <c r="P204" s="4"/>
    </row>
    <row r="205" spans="2:16" x14ac:dyDescent="0.35">
      <c r="B205" s="3"/>
      <c r="E205" s="4"/>
      <c r="G205" s="4"/>
      <c r="J205">
        <f>Tableau2[[#This Row],[PROD TOTALE/KG]]+Tableau2[[#This Row],[ PROD SURFACE (en Kg) ?]]</f>
        <v>0</v>
      </c>
      <c r="N205" s="4"/>
      <c r="P205" s="4"/>
    </row>
    <row r="206" spans="2:16" x14ac:dyDescent="0.35">
      <c r="B206" s="3"/>
      <c r="E206" s="4"/>
      <c r="G206" s="4"/>
      <c r="J206">
        <f>Tableau2[[#This Row],[PROD TOTALE/KG]]+Tableau2[[#This Row],[ PROD SURFACE (en Kg) ?]]</f>
        <v>0</v>
      </c>
      <c r="N206" s="4"/>
      <c r="P206" s="4"/>
    </row>
    <row r="207" spans="2:16" x14ac:dyDescent="0.35">
      <c r="B207" s="3"/>
      <c r="E207" s="4"/>
      <c r="G207" s="4"/>
      <c r="J207">
        <f>Tableau2[[#This Row],[PROD TOTALE/KG]]+Tableau2[[#This Row],[ PROD SURFACE (en Kg) ?]]</f>
        <v>0</v>
      </c>
      <c r="N207" s="4"/>
      <c r="P207" s="4"/>
    </row>
    <row r="208" spans="2:16" x14ac:dyDescent="0.35">
      <c r="B208" s="3"/>
      <c r="E208" s="4"/>
      <c r="G208" s="4"/>
      <c r="J208">
        <f>Tableau2[[#This Row],[PROD TOTALE/KG]]+Tableau2[[#This Row],[ PROD SURFACE (en Kg) ?]]</f>
        <v>0</v>
      </c>
      <c r="N208" s="4"/>
      <c r="P208" s="4"/>
    </row>
    <row r="209" spans="2:19" x14ac:dyDescent="0.35">
      <c r="B209" s="3"/>
      <c r="E209" s="4"/>
      <c r="G209" s="4"/>
      <c r="J209">
        <f>Tableau2[[#This Row],[PROD TOTALE/KG]]+Tableau2[[#This Row],[ PROD SURFACE (en Kg) ?]]</f>
        <v>0</v>
      </c>
      <c r="N209" s="4"/>
      <c r="P209" s="4"/>
    </row>
    <row r="210" spans="2:19" x14ac:dyDescent="0.35">
      <c r="B210" s="3"/>
      <c r="E210" s="4"/>
      <c r="G210" s="4"/>
      <c r="J210">
        <f>Tableau2[[#This Row],[PROD TOTALE/KG]]+Tableau2[[#This Row],[ PROD SURFACE (en Kg) ?]]</f>
        <v>0</v>
      </c>
      <c r="N210" s="4"/>
      <c r="P210" s="4"/>
    </row>
    <row r="211" spans="2:19" x14ac:dyDescent="0.35">
      <c r="B211" s="3"/>
      <c r="E211" s="4"/>
      <c r="G211" s="4"/>
      <c r="J211">
        <f>Tableau2[[#This Row],[PROD TOTALE/KG]]+Tableau2[[#This Row],[ PROD SURFACE (en Kg) ?]]</f>
        <v>0</v>
      </c>
      <c r="N211" s="4"/>
      <c r="P211" s="4"/>
    </row>
    <row r="212" spans="2:19" x14ac:dyDescent="0.35">
      <c r="B212" s="3"/>
      <c r="E212" s="4"/>
      <c r="G212" s="4"/>
      <c r="J212">
        <f>Tableau2[[#This Row],[PROD TOTALE/KG]]+Tableau2[[#This Row],[ PROD SURFACE (en Kg) ?]]</f>
        <v>0</v>
      </c>
      <c r="N212" s="4"/>
      <c r="P212" s="4"/>
    </row>
    <row r="213" spans="2:19" x14ac:dyDescent="0.35">
      <c r="B213" s="3"/>
      <c r="E213" s="4"/>
      <c r="G213" s="4"/>
      <c r="J213">
        <f>Tableau2[[#This Row],[PROD TOTALE/KG]]+Tableau2[[#This Row],[ PROD SURFACE (en Kg) ?]]</f>
        <v>0</v>
      </c>
      <c r="N213" s="4"/>
      <c r="P213" s="4"/>
    </row>
    <row r="214" spans="2:19" x14ac:dyDescent="0.35">
      <c r="B214" s="3"/>
      <c r="E214" s="4"/>
      <c r="G214" s="4"/>
      <c r="J214">
        <f>Tableau2[[#This Row],[PROD TOTALE/KG]]+Tableau2[[#This Row],[ PROD SURFACE (en Kg) ?]]</f>
        <v>0</v>
      </c>
      <c r="N214" s="4"/>
      <c r="P214" s="4"/>
    </row>
    <row r="215" spans="2:19" x14ac:dyDescent="0.35">
      <c r="B215" s="3"/>
      <c r="E215" s="4"/>
      <c r="G215" s="4"/>
      <c r="J215">
        <f>Tableau2[[#This Row],[PROD TOTALE/KG]]+Tableau2[[#This Row],[ PROD SURFACE (en Kg) ?]]</f>
        <v>0</v>
      </c>
      <c r="N215" s="4"/>
      <c r="P215" s="4"/>
    </row>
    <row r="216" spans="2:19" x14ac:dyDescent="0.35">
      <c r="B216" s="3"/>
      <c r="E216" s="4"/>
      <c r="G216" s="4"/>
      <c r="J216">
        <f>Tableau2[[#This Row],[PROD TOTALE/KG]]+Tableau2[[#This Row],[ PROD SURFACE (en Kg) ?]]</f>
        <v>0</v>
      </c>
      <c r="N216" s="4"/>
      <c r="P216" s="4"/>
    </row>
    <row r="220" spans="2:19" x14ac:dyDescent="0.35">
      <c r="S220">
        <f>340000/900</f>
        <v>377.77777777777777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BD_APPUR 2</vt:lpstr>
      <vt:lpstr>Basedonnées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FAROUK ANANOU</dc:creator>
  <cp:lastModifiedBy>FAROUK ANANOU</cp:lastModifiedBy>
  <dcterms:created xsi:type="dcterms:W3CDTF">2026-08-10T18:37:22Z</dcterms:created>
  <dcterms:modified xsi:type="dcterms:W3CDTF">2026-08-10T18:37:59Z</dcterms:modified>
</cp:coreProperties>
</file>